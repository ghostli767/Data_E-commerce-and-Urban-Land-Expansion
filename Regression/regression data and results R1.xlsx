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data" sheetId="3" r:id="rId1"/>
    <sheet name="Results of the scale threshold " sheetId="5" r:id="rId2"/>
    <sheet name="Results of the density threshol" sheetId="6" r:id="rId3"/>
    <sheet name="VIF " sheetId="7" r:id="rId4"/>
  </sheets>
  <definedNames>
    <definedName name="Database">'Results of the scale threshold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<sst xmlns="http://schemas.openxmlformats.org/spreadsheetml/2006/main" count="590" uniqueCount="425">
  <si>
    <t>number</t>
  </si>
  <si>
    <t>town</t>
  </si>
  <si>
    <t>Location</t>
  </si>
  <si>
    <t>ec23</t>
  </si>
  <si>
    <t>Scale</t>
  </si>
  <si>
    <t>Density</t>
  </si>
  <si>
    <t>Agglomeration</t>
  </si>
  <si>
    <t>Bus</t>
  </si>
  <si>
    <t>Coach Station</t>
  </si>
  <si>
    <t>Commercial office</t>
  </si>
  <si>
    <t>Culture art</t>
  </si>
  <si>
    <t>Development zones</t>
  </si>
  <si>
    <t>Financial institutions</t>
  </si>
  <si>
    <t>Shopping center</t>
  </si>
  <si>
    <t>Factory</t>
  </si>
  <si>
    <t>University</t>
  </si>
  <si>
    <t>Population</t>
  </si>
  <si>
    <t>floating population</t>
  </si>
  <si>
    <t>floating population percent</t>
  </si>
  <si>
    <t>area/m²</t>
  </si>
  <si>
    <t>2008/m²</t>
  </si>
  <si>
    <t>2013/m²</t>
  </si>
  <si>
    <t>2018/m²</t>
  </si>
  <si>
    <t>2023/km²</t>
  </si>
  <si>
    <t>expansion0823</t>
  </si>
  <si>
    <r>
      <rPr>
        <sz val="10"/>
        <rFont val="宋体"/>
        <charset val="134"/>
      </rPr>
      <t>海滨街道</t>
    </r>
  </si>
  <si>
    <r>
      <rPr>
        <sz val="10"/>
        <rFont val="宋体"/>
        <charset val="134"/>
      </rPr>
      <t>临江街道</t>
    </r>
  </si>
  <si>
    <r>
      <rPr>
        <sz val="10"/>
        <rFont val="宋体"/>
        <charset val="134"/>
      </rPr>
      <t>鲤中街道</t>
    </r>
  </si>
  <si>
    <r>
      <rPr>
        <sz val="10"/>
        <rFont val="宋体"/>
        <charset val="134"/>
      </rPr>
      <t>开元街道</t>
    </r>
  </si>
  <si>
    <r>
      <rPr>
        <sz val="10"/>
        <rFont val="宋体"/>
        <charset val="134"/>
      </rPr>
      <t>浮桥街道</t>
    </r>
  </si>
  <si>
    <r>
      <rPr>
        <sz val="10"/>
        <rFont val="宋体"/>
        <charset val="134"/>
      </rPr>
      <t>江南街道</t>
    </r>
  </si>
  <si>
    <r>
      <rPr>
        <sz val="10"/>
        <rFont val="宋体"/>
        <charset val="134"/>
      </rPr>
      <t>金龙街道</t>
    </r>
  </si>
  <si>
    <r>
      <rPr>
        <sz val="10"/>
        <rFont val="宋体"/>
        <charset val="134"/>
      </rPr>
      <t>常泰街道</t>
    </r>
  </si>
  <si>
    <r>
      <rPr>
        <sz val="10"/>
        <rFont val="宋体"/>
        <charset val="134"/>
      </rPr>
      <t>清濛经济开发区</t>
    </r>
  </si>
  <si>
    <r>
      <rPr>
        <sz val="10"/>
        <rFont val="宋体"/>
        <charset val="134"/>
      </rPr>
      <t>东湖街道</t>
    </r>
  </si>
  <si>
    <r>
      <rPr>
        <sz val="10"/>
        <rFont val="宋体"/>
        <charset val="134"/>
      </rPr>
      <t>丰泽街道</t>
    </r>
  </si>
  <si>
    <r>
      <rPr>
        <sz val="10"/>
        <rFont val="宋体"/>
        <charset val="134"/>
      </rPr>
      <t>泉秀街道</t>
    </r>
  </si>
  <si>
    <r>
      <rPr>
        <sz val="10"/>
        <rFont val="宋体"/>
        <charset val="134"/>
      </rPr>
      <t>清源街道</t>
    </r>
  </si>
  <si>
    <r>
      <rPr>
        <sz val="10"/>
        <rFont val="宋体"/>
        <charset val="134"/>
      </rPr>
      <t>华大街道</t>
    </r>
  </si>
  <si>
    <r>
      <rPr>
        <sz val="10"/>
        <rFont val="宋体"/>
        <charset val="134"/>
      </rPr>
      <t>城东街道</t>
    </r>
  </si>
  <si>
    <r>
      <rPr>
        <sz val="10"/>
        <rFont val="宋体"/>
        <charset val="134"/>
      </rPr>
      <t>东海街道</t>
    </r>
  </si>
  <si>
    <r>
      <rPr>
        <sz val="10"/>
        <rFont val="宋体"/>
        <charset val="134"/>
      </rPr>
      <t>北峰街道</t>
    </r>
  </si>
  <si>
    <r>
      <rPr>
        <sz val="10"/>
        <rFont val="宋体"/>
        <charset val="134"/>
      </rPr>
      <t>万安街道</t>
    </r>
  </si>
  <si>
    <r>
      <rPr>
        <sz val="10"/>
        <rFont val="宋体"/>
        <charset val="134"/>
      </rPr>
      <t>双阳街道</t>
    </r>
  </si>
  <si>
    <r>
      <rPr>
        <sz val="10"/>
        <rFont val="宋体"/>
        <charset val="134"/>
      </rPr>
      <t>罗溪镇</t>
    </r>
  </si>
  <si>
    <r>
      <rPr>
        <sz val="10"/>
        <rFont val="宋体"/>
        <charset val="134"/>
      </rPr>
      <t>马甲镇</t>
    </r>
  </si>
  <si>
    <r>
      <rPr>
        <sz val="10"/>
        <rFont val="宋体"/>
        <charset val="134"/>
      </rPr>
      <t>河市镇</t>
    </r>
  </si>
  <si>
    <r>
      <rPr>
        <sz val="10"/>
        <rFont val="宋体"/>
        <charset val="134"/>
      </rPr>
      <t>虹山乡</t>
    </r>
  </si>
  <si>
    <r>
      <rPr>
        <sz val="10"/>
        <rFont val="宋体"/>
        <charset val="134"/>
      </rPr>
      <t>山腰街道</t>
    </r>
  </si>
  <si>
    <r>
      <rPr>
        <sz val="10"/>
        <rFont val="宋体"/>
        <charset val="134"/>
      </rPr>
      <t>南埔镇</t>
    </r>
  </si>
  <si>
    <r>
      <rPr>
        <sz val="10"/>
        <rFont val="宋体"/>
        <charset val="134"/>
      </rPr>
      <t>界山镇</t>
    </r>
  </si>
  <si>
    <r>
      <rPr>
        <sz val="10"/>
        <rFont val="宋体"/>
        <charset val="134"/>
      </rPr>
      <t>后龙镇</t>
    </r>
  </si>
  <si>
    <r>
      <rPr>
        <sz val="10"/>
        <rFont val="宋体"/>
        <charset val="134"/>
      </rPr>
      <t>峰尾镇</t>
    </r>
  </si>
  <si>
    <r>
      <rPr>
        <sz val="10"/>
        <rFont val="宋体"/>
        <charset val="134"/>
      </rPr>
      <t>前黄镇</t>
    </r>
  </si>
  <si>
    <r>
      <rPr>
        <sz val="10"/>
        <rFont val="宋体"/>
        <charset val="134"/>
      </rPr>
      <t>涂岭镇</t>
    </r>
  </si>
  <si>
    <r>
      <rPr>
        <sz val="10"/>
        <rFont val="宋体"/>
        <charset val="134"/>
      </rPr>
      <t>螺城镇</t>
    </r>
  </si>
  <si>
    <r>
      <rPr>
        <sz val="10"/>
        <rFont val="宋体"/>
        <charset val="134"/>
      </rPr>
      <t>螺阳镇</t>
    </r>
  </si>
  <si>
    <r>
      <rPr>
        <sz val="10"/>
        <rFont val="宋体"/>
        <charset val="134"/>
      </rPr>
      <t>黄塘镇</t>
    </r>
  </si>
  <si>
    <r>
      <rPr>
        <sz val="10"/>
        <rFont val="宋体"/>
        <charset val="134"/>
      </rPr>
      <t>紫山镇</t>
    </r>
  </si>
  <si>
    <r>
      <rPr>
        <sz val="10"/>
        <rFont val="宋体"/>
        <charset val="134"/>
      </rPr>
      <t>洛阳镇</t>
    </r>
  </si>
  <si>
    <r>
      <rPr>
        <sz val="10"/>
        <rFont val="宋体"/>
        <charset val="134"/>
      </rPr>
      <t>东园镇</t>
    </r>
  </si>
  <si>
    <r>
      <rPr>
        <sz val="10"/>
        <rFont val="宋体"/>
        <charset val="134"/>
      </rPr>
      <t>张坂镇</t>
    </r>
  </si>
  <si>
    <r>
      <rPr>
        <sz val="10"/>
        <rFont val="宋体"/>
        <charset val="134"/>
      </rPr>
      <t>崇武镇</t>
    </r>
  </si>
  <si>
    <r>
      <rPr>
        <sz val="10"/>
        <rFont val="宋体"/>
        <charset val="134"/>
      </rPr>
      <t>山霞镇</t>
    </r>
  </si>
  <si>
    <r>
      <rPr>
        <sz val="10"/>
        <rFont val="宋体"/>
        <charset val="134"/>
      </rPr>
      <t>涂寨镇</t>
    </r>
  </si>
  <si>
    <r>
      <rPr>
        <sz val="10"/>
        <rFont val="宋体"/>
        <charset val="134"/>
      </rPr>
      <t>东岭镇</t>
    </r>
  </si>
  <si>
    <r>
      <rPr>
        <sz val="10"/>
        <rFont val="宋体"/>
        <charset val="134"/>
      </rPr>
      <t>东桥镇</t>
    </r>
  </si>
  <si>
    <r>
      <rPr>
        <sz val="10"/>
        <rFont val="宋体"/>
        <charset val="134"/>
      </rPr>
      <t>净峰镇</t>
    </r>
  </si>
  <si>
    <r>
      <rPr>
        <sz val="10"/>
        <rFont val="宋体"/>
        <charset val="134"/>
      </rPr>
      <t>小岞镇</t>
    </r>
  </si>
  <si>
    <r>
      <rPr>
        <sz val="10"/>
        <rFont val="宋体"/>
        <charset val="134"/>
      </rPr>
      <t>辋川镇</t>
    </r>
  </si>
  <si>
    <r>
      <rPr>
        <sz val="10"/>
        <rFont val="宋体"/>
        <charset val="134"/>
      </rPr>
      <t>百崎回族乡</t>
    </r>
  </si>
  <si>
    <r>
      <rPr>
        <sz val="10"/>
        <rFont val="宋体"/>
        <charset val="134"/>
      </rPr>
      <t>城南工业区</t>
    </r>
  </si>
  <si>
    <r>
      <rPr>
        <sz val="10"/>
        <rFont val="宋体"/>
        <charset val="134"/>
      </rPr>
      <t>凤城镇</t>
    </r>
  </si>
  <si>
    <r>
      <rPr>
        <sz val="10"/>
        <rFont val="宋体"/>
        <charset val="134"/>
      </rPr>
      <t>蓬莱镇</t>
    </r>
  </si>
  <si>
    <r>
      <rPr>
        <sz val="10"/>
        <rFont val="宋体"/>
        <charset val="134"/>
      </rPr>
      <t>湖头镇</t>
    </r>
  </si>
  <si>
    <r>
      <rPr>
        <sz val="10"/>
        <rFont val="宋体"/>
        <charset val="134"/>
      </rPr>
      <t>官桥镇</t>
    </r>
  </si>
  <si>
    <r>
      <rPr>
        <sz val="10"/>
        <rFont val="宋体"/>
        <charset val="134"/>
      </rPr>
      <t>剑斗镇</t>
    </r>
  </si>
  <si>
    <r>
      <rPr>
        <sz val="10"/>
        <rFont val="宋体"/>
        <charset val="134"/>
      </rPr>
      <t>城厢镇</t>
    </r>
  </si>
  <si>
    <r>
      <rPr>
        <sz val="10"/>
        <rFont val="宋体"/>
        <charset val="134"/>
      </rPr>
      <t>金谷镇</t>
    </r>
  </si>
  <si>
    <r>
      <rPr>
        <sz val="10"/>
        <rFont val="宋体"/>
        <charset val="134"/>
      </rPr>
      <t>龙门镇</t>
    </r>
  </si>
  <si>
    <r>
      <rPr>
        <sz val="10"/>
        <rFont val="宋体"/>
        <charset val="134"/>
      </rPr>
      <t>虎邱镇</t>
    </r>
  </si>
  <si>
    <r>
      <rPr>
        <sz val="10"/>
        <rFont val="宋体"/>
        <charset val="134"/>
      </rPr>
      <t>芦田镇</t>
    </r>
  </si>
  <si>
    <r>
      <rPr>
        <sz val="10"/>
        <rFont val="宋体"/>
        <charset val="134"/>
      </rPr>
      <t>感德镇</t>
    </r>
  </si>
  <si>
    <r>
      <rPr>
        <sz val="10"/>
        <rFont val="宋体"/>
        <charset val="134"/>
      </rPr>
      <t>魁斗镇</t>
    </r>
  </si>
  <si>
    <r>
      <rPr>
        <sz val="10"/>
        <rFont val="宋体"/>
        <charset val="134"/>
      </rPr>
      <t>西坪镇</t>
    </r>
  </si>
  <si>
    <r>
      <rPr>
        <sz val="10"/>
        <rFont val="宋体"/>
        <charset val="134"/>
      </rPr>
      <t>参内镇</t>
    </r>
  </si>
  <si>
    <r>
      <rPr>
        <sz val="10"/>
        <rFont val="宋体"/>
        <charset val="134"/>
      </rPr>
      <t>长卿镇</t>
    </r>
  </si>
  <si>
    <r>
      <rPr>
        <sz val="10"/>
        <rFont val="宋体"/>
        <charset val="134"/>
      </rPr>
      <t>白濑乡</t>
    </r>
  </si>
  <si>
    <r>
      <rPr>
        <sz val="10"/>
        <rFont val="宋体"/>
        <charset val="134"/>
      </rPr>
      <t>湖上乡</t>
    </r>
  </si>
  <si>
    <r>
      <rPr>
        <sz val="10"/>
        <rFont val="宋体"/>
        <charset val="134"/>
      </rPr>
      <t>尚卿乡</t>
    </r>
  </si>
  <si>
    <r>
      <rPr>
        <sz val="10"/>
        <rFont val="宋体"/>
        <charset val="134"/>
      </rPr>
      <t>大坪乡</t>
    </r>
  </si>
  <si>
    <r>
      <rPr>
        <sz val="10"/>
        <rFont val="宋体"/>
        <charset val="134"/>
      </rPr>
      <t>龙涓乡</t>
    </r>
  </si>
  <si>
    <r>
      <rPr>
        <sz val="10"/>
        <rFont val="宋体"/>
        <charset val="134"/>
      </rPr>
      <t>蓝田乡</t>
    </r>
  </si>
  <si>
    <r>
      <rPr>
        <sz val="10"/>
        <rFont val="宋体"/>
        <charset val="134"/>
      </rPr>
      <t>祥华乡</t>
    </r>
  </si>
  <si>
    <r>
      <rPr>
        <sz val="10"/>
        <rFont val="宋体"/>
        <charset val="134"/>
      </rPr>
      <t>桃舟乡</t>
    </r>
  </si>
  <si>
    <r>
      <rPr>
        <sz val="10"/>
        <rFont val="宋体"/>
        <charset val="134"/>
      </rPr>
      <t>福田乡</t>
    </r>
  </si>
  <si>
    <r>
      <rPr>
        <sz val="10"/>
        <rFont val="宋体"/>
        <charset val="134"/>
      </rPr>
      <t>桃城镇</t>
    </r>
  </si>
  <si>
    <r>
      <rPr>
        <sz val="10"/>
        <rFont val="宋体"/>
        <charset val="134"/>
      </rPr>
      <t>五里街镇</t>
    </r>
  </si>
  <si>
    <r>
      <rPr>
        <sz val="10"/>
        <rFont val="宋体"/>
        <charset val="134"/>
      </rPr>
      <t>一都镇</t>
    </r>
  </si>
  <si>
    <r>
      <rPr>
        <sz val="10"/>
        <rFont val="宋体"/>
        <charset val="134"/>
      </rPr>
      <t>下洋镇</t>
    </r>
  </si>
  <si>
    <r>
      <rPr>
        <sz val="10"/>
        <rFont val="宋体"/>
        <charset val="134"/>
      </rPr>
      <t>蓬壶镇</t>
    </r>
  </si>
  <si>
    <r>
      <rPr>
        <sz val="10"/>
        <rFont val="宋体"/>
        <charset val="134"/>
      </rPr>
      <t>达埔镇</t>
    </r>
  </si>
  <si>
    <r>
      <rPr>
        <sz val="10"/>
        <rFont val="宋体"/>
        <charset val="134"/>
      </rPr>
      <t>吾峰镇</t>
    </r>
  </si>
  <si>
    <r>
      <rPr>
        <sz val="10"/>
        <rFont val="宋体"/>
        <charset val="134"/>
      </rPr>
      <t>石鼓镇</t>
    </r>
  </si>
  <si>
    <r>
      <rPr>
        <sz val="10"/>
        <rFont val="宋体"/>
        <charset val="134"/>
      </rPr>
      <t>岵山镇</t>
    </r>
  </si>
  <si>
    <r>
      <rPr>
        <sz val="10"/>
        <rFont val="宋体"/>
        <charset val="134"/>
      </rPr>
      <t>东平镇</t>
    </r>
  </si>
  <si>
    <r>
      <rPr>
        <sz val="10"/>
        <rFont val="宋体"/>
        <charset val="134"/>
      </rPr>
      <t>湖洋镇</t>
    </r>
  </si>
  <si>
    <r>
      <rPr>
        <sz val="10"/>
        <rFont val="宋体"/>
        <charset val="134"/>
      </rPr>
      <t>坑仔口镇</t>
    </r>
  </si>
  <si>
    <r>
      <rPr>
        <sz val="10"/>
        <rFont val="宋体"/>
        <charset val="134"/>
      </rPr>
      <t>玉斗镇</t>
    </r>
  </si>
  <si>
    <r>
      <rPr>
        <sz val="10"/>
        <rFont val="宋体"/>
        <charset val="134"/>
      </rPr>
      <t>锦斗镇</t>
    </r>
  </si>
  <si>
    <r>
      <rPr>
        <sz val="10"/>
        <rFont val="宋体"/>
        <charset val="134"/>
      </rPr>
      <t>东关镇</t>
    </r>
  </si>
  <si>
    <r>
      <rPr>
        <sz val="10"/>
        <rFont val="宋体"/>
        <charset val="134"/>
      </rPr>
      <t>桂洋镇</t>
    </r>
  </si>
  <si>
    <r>
      <rPr>
        <sz val="10"/>
        <rFont val="宋体"/>
        <charset val="134"/>
      </rPr>
      <t>苏坑镇</t>
    </r>
  </si>
  <si>
    <r>
      <rPr>
        <sz val="10"/>
        <rFont val="宋体"/>
        <charset val="134"/>
      </rPr>
      <t>仙夹镇</t>
    </r>
  </si>
  <si>
    <r>
      <rPr>
        <sz val="10"/>
        <rFont val="宋体"/>
        <charset val="134"/>
      </rPr>
      <t>横口乡</t>
    </r>
  </si>
  <si>
    <r>
      <rPr>
        <sz val="10"/>
        <rFont val="宋体"/>
        <charset val="134"/>
      </rPr>
      <t>呈祥乡</t>
    </r>
  </si>
  <si>
    <r>
      <rPr>
        <sz val="10"/>
        <rFont val="宋体"/>
        <charset val="134"/>
      </rPr>
      <t>介福乡</t>
    </r>
  </si>
  <si>
    <r>
      <rPr>
        <sz val="10"/>
        <rFont val="宋体"/>
        <charset val="134"/>
      </rPr>
      <t>外山乡</t>
    </r>
  </si>
  <si>
    <r>
      <rPr>
        <sz val="10"/>
        <rFont val="宋体"/>
        <charset val="134"/>
      </rPr>
      <t>浔中镇</t>
    </r>
  </si>
  <si>
    <r>
      <rPr>
        <sz val="10"/>
        <rFont val="宋体"/>
        <charset val="134"/>
      </rPr>
      <t>龙浔镇</t>
    </r>
  </si>
  <si>
    <r>
      <rPr>
        <sz val="10"/>
        <rFont val="宋体"/>
        <charset val="134"/>
      </rPr>
      <t>三班镇</t>
    </r>
  </si>
  <si>
    <r>
      <rPr>
        <sz val="10"/>
        <rFont val="宋体"/>
        <charset val="134"/>
      </rPr>
      <t>龙门滩镇</t>
    </r>
  </si>
  <si>
    <r>
      <rPr>
        <sz val="10"/>
        <rFont val="宋体"/>
        <charset val="134"/>
      </rPr>
      <t>雷峰镇</t>
    </r>
  </si>
  <si>
    <r>
      <rPr>
        <sz val="10"/>
        <rFont val="宋体"/>
        <charset val="134"/>
      </rPr>
      <t>南埕镇</t>
    </r>
  </si>
  <si>
    <r>
      <rPr>
        <sz val="10"/>
        <rFont val="宋体"/>
        <charset val="134"/>
      </rPr>
      <t>水口镇</t>
    </r>
  </si>
  <si>
    <r>
      <rPr>
        <sz val="10"/>
        <rFont val="宋体"/>
        <charset val="134"/>
      </rPr>
      <t>赤水镇</t>
    </r>
  </si>
  <si>
    <r>
      <rPr>
        <sz val="10"/>
        <rFont val="宋体"/>
        <charset val="134"/>
      </rPr>
      <t>上涌镇</t>
    </r>
  </si>
  <si>
    <r>
      <rPr>
        <sz val="10"/>
        <rFont val="宋体"/>
        <charset val="134"/>
      </rPr>
      <t>葛坑镇</t>
    </r>
  </si>
  <si>
    <r>
      <rPr>
        <sz val="10"/>
        <rFont val="宋体"/>
        <charset val="134"/>
      </rPr>
      <t>盖德镇</t>
    </r>
  </si>
  <si>
    <r>
      <rPr>
        <sz val="10"/>
        <rFont val="宋体"/>
        <charset val="134"/>
      </rPr>
      <t>美湖镇</t>
    </r>
  </si>
  <si>
    <r>
      <rPr>
        <sz val="10"/>
        <rFont val="宋体"/>
        <charset val="134"/>
      </rPr>
      <t>杨梅乡</t>
    </r>
  </si>
  <si>
    <r>
      <rPr>
        <sz val="10"/>
        <rFont val="宋体"/>
        <charset val="134"/>
      </rPr>
      <t>汤头乡</t>
    </r>
  </si>
  <si>
    <r>
      <rPr>
        <sz val="10"/>
        <rFont val="宋体"/>
        <charset val="134"/>
      </rPr>
      <t>桂阳乡</t>
    </r>
  </si>
  <si>
    <r>
      <rPr>
        <sz val="10"/>
        <rFont val="宋体"/>
        <charset val="134"/>
      </rPr>
      <t>国宝乡</t>
    </r>
  </si>
  <si>
    <r>
      <rPr>
        <sz val="10"/>
        <rFont val="宋体"/>
        <charset val="134"/>
      </rPr>
      <t>大铭乡</t>
    </r>
  </si>
  <si>
    <r>
      <rPr>
        <sz val="10"/>
        <rFont val="宋体"/>
        <charset val="134"/>
      </rPr>
      <t>春美乡</t>
    </r>
  </si>
  <si>
    <r>
      <rPr>
        <sz val="10"/>
        <rFont val="宋体"/>
        <charset val="134"/>
      </rPr>
      <t>湖滨街道</t>
    </r>
  </si>
  <si>
    <r>
      <rPr>
        <sz val="10"/>
        <rFont val="宋体"/>
        <charset val="134"/>
      </rPr>
      <t>凤里街道</t>
    </r>
  </si>
  <si>
    <r>
      <rPr>
        <sz val="10"/>
        <rFont val="宋体"/>
        <charset val="134"/>
      </rPr>
      <t>灵秀镇</t>
    </r>
  </si>
  <si>
    <r>
      <rPr>
        <sz val="10"/>
        <rFont val="宋体"/>
        <charset val="134"/>
      </rPr>
      <t>宝盖镇</t>
    </r>
  </si>
  <si>
    <r>
      <rPr>
        <sz val="10"/>
        <rFont val="宋体"/>
        <charset val="134"/>
      </rPr>
      <t>蚶江镇</t>
    </r>
  </si>
  <si>
    <r>
      <rPr>
        <sz val="10"/>
        <rFont val="宋体"/>
        <charset val="134"/>
      </rPr>
      <t>祥芝镇</t>
    </r>
  </si>
  <si>
    <r>
      <rPr>
        <sz val="10"/>
        <rFont val="宋体"/>
        <charset val="134"/>
      </rPr>
      <t>鸿山镇</t>
    </r>
  </si>
  <si>
    <r>
      <rPr>
        <sz val="10"/>
        <rFont val="宋体"/>
        <charset val="134"/>
      </rPr>
      <t>锦尚镇</t>
    </r>
  </si>
  <si>
    <r>
      <rPr>
        <sz val="10"/>
        <rFont val="宋体"/>
        <charset val="134"/>
      </rPr>
      <t>永宁镇</t>
    </r>
  </si>
  <si>
    <r>
      <rPr>
        <sz val="10"/>
        <rFont val="宋体"/>
        <charset val="134"/>
      </rPr>
      <t>青阳街道</t>
    </r>
  </si>
  <si>
    <r>
      <rPr>
        <sz val="10"/>
        <rFont val="宋体"/>
        <charset val="134"/>
      </rPr>
      <t>梅岭街道</t>
    </r>
  </si>
  <si>
    <r>
      <rPr>
        <sz val="10"/>
        <rFont val="宋体"/>
        <charset val="134"/>
      </rPr>
      <t>西园街道</t>
    </r>
  </si>
  <si>
    <r>
      <rPr>
        <sz val="10"/>
        <rFont val="宋体"/>
        <charset val="134"/>
      </rPr>
      <t>罗山街道</t>
    </r>
  </si>
  <si>
    <r>
      <rPr>
        <sz val="10"/>
        <rFont val="宋体"/>
        <charset val="134"/>
      </rPr>
      <t>新塘街道</t>
    </r>
  </si>
  <si>
    <r>
      <rPr>
        <sz val="10"/>
        <rFont val="宋体"/>
        <charset val="134"/>
      </rPr>
      <t>灵源街道</t>
    </r>
  </si>
  <si>
    <r>
      <rPr>
        <sz val="10"/>
        <rFont val="宋体"/>
        <charset val="134"/>
      </rPr>
      <t>安海镇</t>
    </r>
  </si>
  <si>
    <r>
      <rPr>
        <sz val="10"/>
        <rFont val="宋体"/>
        <charset val="134"/>
      </rPr>
      <t>磁灶镇</t>
    </r>
  </si>
  <si>
    <r>
      <rPr>
        <sz val="10"/>
        <rFont val="宋体"/>
        <charset val="134"/>
      </rPr>
      <t>陈埭镇</t>
    </r>
  </si>
  <si>
    <r>
      <rPr>
        <sz val="10"/>
        <rFont val="宋体"/>
        <charset val="134"/>
      </rPr>
      <t>东石镇</t>
    </r>
  </si>
  <si>
    <r>
      <rPr>
        <sz val="10"/>
        <rFont val="宋体"/>
        <charset val="134"/>
      </rPr>
      <t>深沪镇</t>
    </r>
  </si>
  <si>
    <r>
      <rPr>
        <sz val="10"/>
        <rFont val="宋体"/>
        <charset val="134"/>
      </rPr>
      <t>金井镇</t>
    </r>
  </si>
  <si>
    <r>
      <rPr>
        <sz val="10"/>
        <rFont val="宋体"/>
        <charset val="134"/>
      </rPr>
      <t>池店镇</t>
    </r>
  </si>
  <si>
    <r>
      <rPr>
        <sz val="10"/>
        <rFont val="宋体"/>
        <charset val="134"/>
      </rPr>
      <t>内坑镇</t>
    </r>
  </si>
  <si>
    <r>
      <rPr>
        <sz val="10"/>
        <rFont val="宋体"/>
        <charset val="134"/>
      </rPr>
      <t>龙湖镇</t>
    </r>
  </si>
  <si>
    <r>
      <rPr>
        <sz val="10"/>
        <rFont val="宋体"/>
        <charset val="134"/>
      </rPr>
      <t>永和镇</t>
    </r>
  </si>
  <si>
    <r>
      <rPr>
        <sz val="10"/>
        <rFont val="宋体"/>
        <charset val="134"/>
      </rPr>
      <t>英林镇</t>
    </r>
  </si>
  <si>
    <r>
      <rPr>
        <sz val="10"/>
        <rFont val="宋体"/>
        <charset val="134"/>
      </rPr>
      <t>紫帽镇</t>
    </r>
  </si>
  <si>
    <r>
      <rPr>
        <sz val="10"/>
        <rFont val="宋体"/>
        <charset val="134"/>
      </rPr>
      <t>西滨镇</t>
    </r>
  </si>
  <si>
    <r>
      <rPr>
        <sz val="10"/>
        <rFont val="宋体"/>
        <charset val="134"/>
      </rPr>
      <t>晋江市经济开发区</t>
    </r>
  </si>
  <si>
    <r>
      <rPr>
        <sz val="10"/>
        <rFont val="宋体"/>
        <charset val="134"/>
      </rPr>
      <t>泉州出口加工区</t>
    </r>
  </si>
  <si>
    <r>
      <rPr>
        <sz val="10"/>
        <rFont val="宋体"/>
        <charset val="134"/>
      </rPr>
      <t>溪美街道</t>
    </r>
  </si>
  <si>
    <r>
      <rPr>
        <sz val="10"/>
        <rFont val="宋体"/>
        <charset val="134"/>
      </rPr>
      <t>柳城街道</t>
    </r>
  </si>
  <si>
    <r>
      <rPr>
        <sz val="10"/>
        <rFont val="宋体"/>
        <charset val="134"/>
      </rPr>
      <t>美林街道</t>
    </r>
  </si>
  <si>
    <r>
      <rPr>
        <sz val="10"/>
        <rFont val="宋体"/>
        <charset val="134"/>
      </rPr>
      <t>省新镇</t>
    </r>
  </si>
  <si>
    <r>
      <rPr>
        <sz val="10"/>
        <rFont val="宋体"/>
        <charset val="134"/>
      </rPr>
      <t>仑苍镇</t>
    </r>
  </si>
  <si>
    <r>
      <rPr>
        <sz val="10"/>
        <rFont val="宋体"/>
        <charset val="134"/>
      </rPr>
      <t>东田镇</t>
    </r>
  </si>
  <si>
    <r>
      <rPr>
        <sz val="10"/>
        <rFont val="宋体"/>
        <charset val="134"/>
      </rPr>
      <t>英都镇</t>
    </r>
  </si>
  <si>
    <r>
      <rPr>
        <sz val="10"/>
        <rFont val="宋体"/>
        <charset val="134"/>
      </rPr>
      <t>翔云镇</t>
    </r>
  </si>
  <si>
    <r>
      <rPr>
        <sz val="10"/>
        <rFont val="宋体"/>
        <charset val="134"/>
      </rPr>
      <t>金淘镇</t>
    </r>
  </si>
  <si>
    <r>
      <rPr>
        <sz val="10"/>
        <rFont val="宋体"/>
        <charset val="134"/>
      </rPr>
      <t>诗山镇</t>
    </r>
  </si>
  <si>
    <r>
      <rPr>
        <sz val="10"/>
        <rFont val="宋体"/>
        <charset val="134"/>
      </rPr>
      <t>蓬华镇</t>
    </r>
  </si>
  <si>
    <r>
      <rPr>
        <sz val="10"/>
        <rFont val="宋体"/>
        <charset val="134"/>
      </rPr>
      <t>码头镇</t>
    </r>
  </si>
  <si>
    <r>
      <rPr>
        <sz val="10"/>
        <rFont val="宋体"/>
        <charset val="134"/>
      </rPr>
      <t>九都镇</t>
    </r>
  </si>
  <si>
    <r>
      <rPr>
        <sz val="10"/>
        <rFont val="宋体"/>
        <charset val="134"/>
      </rPr>
      <t>乐峰镇</t>
    </r>
  </si>
  <si>
    <r>
      <rPr>
        <sz val="10"/>
        <rFont val="宋体"/>
        <charset val="134"/>
      </rPr>
      <t>罗东镇</t>
    </r>
  </si>
  <si>
    <r>
      <rPr>
        <sz val="10"/>
        <rFont val="宋体"/>
        <charset val="134"/>
      </rPr>
      <t>梅山镇</t>
    </r>
  </si>
  <si>
    <r>
      <rPr>
        <sz val="10"/>
        <rFont val="宋体"/>
        <charset val="134"/>
      </rPr>
      <t>洪濑镇</t>
    </r>
  </si>
  <si>
    <r>
      <rPr>
        <sz val="10"/>
        <rFont val="宋体"/>
        <charset val="134"/>
      </rPr>
      <t>洪梅镇</t>
    </r>
  </si>
  <si>
    <r>
      <rPr>
        <sz val="10"/>
        <rFont val="宋体"/>
        <charset val="134"/>
      </rPr>
      <t>康美镇</t>
    </r>
  </si>
  <si>
    <r>
      <rPr>
        <sz val="10"/>
        <rFont val="宋体"/>
        <charset val="134"/>
      </rPr>
      <t>丰州镇</t>
    </r>
  </si>
  <si>
    <r>
      <rPr>
        <sz val="10"/>
        <rFont val="宋体"/>
        <charset val="134"/>
      </rPr>
      <t>霞美镇</t>
    </r>
  </si>
  <si>
    <r>
      <rPr>
        <sz val="10"/>
        <rFont val="宋体"/>
        <charset val="134"/>
      </rPr>
      <t>水头镇</t>
    </r>
  </si>
  <si>
    <r>
      <rPr>
        <sz val="10"/>
        <rFont val="宋体"/>
        <charset val="134"/>
      </rPr>
      <t>石井镇</t>
    </r>
  </si>
  <si>
    <r>
      <rPr>
        <sz val="10"/>
        <rFont val="宋体"/>
        <charset val="134"/>
      </rPr>
      <t>眉山乡</t>
    </r>
  </si>
  <si>
    <r>
      <rPr>
        <sz val="10"/>
        <rFont val="宋体"/>
        <charset val="134"/>
      </rPr>
      <t>向阳乡</t>
    </r>
  </si>
  <si>
    <r>
      <rPr>
        <sz val="10"/>
        <rFont val="宋体"/>
        <charset val="134"/>
      </rPr>
      <t>雪峰管委会</t>
    </r>
  </si>
  <si>
    <t xml:space="preserve"> thresholdtest expansion0823 Density Agglomeration Location Bus CoachStation Commercialoffice Cultu</t>
  </si>
  <si>
    <t>&gt; reart Developmentzones Financialinstitutions Shoppingcenter Factory University Population floating</t>
  </si>
  <si>
    <t>&gt; populationpercent, q( ec23 ) trim_per(0.15) rep(5000)</t>
  </si>
  <si>
    <t xml:space="preserve"> </t>
  </si>
  <si>
    <t>Test of Null of No Threshold Against Alternative of Threshold</t>
  </si>
  <si>
    <t>Allowing Heteroskedastic Errors (White Corrected)</t>
  </si>
  <si>
    <t>______________________________________________________________________</t>
  </si>
  <si>
    <t>Number of Bootstrap Replications:  5000</t>
  </si>
  <si>
    <t>Trimming Percentage:               .15</t>
  </si>
  <si>
    <t>Threshold Estimate:               84</t>
  </si>
  <si>
    <t>LM-test for no threshold:         29.4834719</t>
  </si>
  <si>
    <t>Bootstrap P-Value:                .0238</t>
  </si>
  <si>
    <t>. thresholdreg expansion0823 Density Agglomeration Location Bus Coach Station Commercial office Development zones Culture art</t>
  </si>
  <si>
    <t>&gt;  Financial institutions Shopping center Factory University Population floatingpopulationpercent , q( ec23 ) h(1)</t>
  </si>
  <si>
    <t>Global OLS Estimation, Without Threshold</t>
  </si>
  <si>
    <t>Heteroskedasticity Correction Used</t>
  </si>
  <si>
    <t>Independent Variables         Estimate                St Error</t>
  </si>
  <si>
    <t>Intercept                    2.48953299               2.32068595</t>
  </si>
  <si>
    <t>Density                        .089580873               .105553519</t>
  </si>
  <si>
    <t>Agglomeration                        .64618578               1.53396652</t>
  </si>
  <si>
    <t>Location                        -.649572001               1.68609494</t>
  </si>
  <si>
    <t>Bus                        .178842068               .032528857</t>
  </si>
  <si>
    <t>Coach Station                        -3.19954372               1.75499192</t>
  </si>
  <si>
    <t>Commercial office                        -.337033444               .084693264</t>
  </si>
  <si>
    <t>Development zones                        1.01065717               .347613634</t>
  </si>
  <si>
    <t>Culture art                        1.41751793               1.17126363</t>
  </si>
  <si>
    <t>Financial institutions                        -.098602141               .176053395</t>
  </si>
  <si>
    <t>Shopping center                        -.117353213               1.25961465</t>
  </si>
  <si>
    <t>Factory                        .310842332               .08573952</t>
  </si>
  <si>
    <t>University                        -2.84424965               1.10766794</t>
  </si>
  <si>
    <t>Population                        .885846171               .60668595</t>
  </si>
  <si>
    <t>floatingpopulationpercent                        -1.03555584               4.78334441</t>
  </si>
  <si>
    <t>Observations:                      168</t>
  </si>
  <si>
    <t>Degrees of Freedom:                153</t>
  </si>
  <si>
    <t>Sum of Squared Errors:             15058.6672</t>
  </si>
  <si>
    <t>Residual Variance:                 98.4226612</t>
  </si>
  <si>
    <t>R-squared:                         .746457359</t>
  </si>
  <si>
    <t>Heteroskedasticity Test (P-Value): .034327997</t>
  </si>
  <si>
    <t>Threshold Estimation</t>
  </si>
  <si>
    <t>Threshold Estimate:               131</t>
  </si>
  <si>
    <t>.95 Confidence Iterval:           [62,296]</t>
  </si>
  <si>
    <t>Sum of Squared Errors             9491.09709</t>
  </si>
  <si>
    <t>Residual Variance:                68.7760659</t>
  </si>
  <si>
    <t>Joint R-Squared:                  .840198485</t>
  </si>
  <si>
    <t>Heteroskedasticity Test (p-value):.034327997</t>
  </si>
  <si>
    <t>Regime1     q&lt;=131</t>
  </si>
  <si>
    <t>Parameter Estimates</t>
  </si>
  <si>
    <t>Intercept</t>
  </si>
  <si>
    <t>***</t>
  </si>
  <si>
    <t>**</t>
  </si>
  <si>
    <t>*</t>
  </si>
  <si>
    <t>floatingpopulationpercent</t>
  </si>
  <si>
    <t>.95 Confidence Regions for Parameters.</t>
  </si>
  <si>
    <t>Independent Variables         Low                     High</t>
  </si>
  <si>
    <t>Intercept                    -8.14789552             5.40078007</t>
  </si>
  <si>
    <t>Density                          -14.71485            -.945588414</t>
  </si>
  <si>
    <t>Agglomeration                          -3.97770324            3.93761914</t>
  </si>
  <si>
    <t>Location                          -3.70081632            4.69801023</t>
  </si>
  <si>
    <t>Bus                          .058984844            .189675476</t>
  </si>
  <si>
    <t>Coach Station                          -5.49886697            .859128</t>
  </si>
  <si>
    <t>Commercial office                          -.670588965            .299468285</t>
  </si>
  <si>
    <t>Development zones                          -.50002702            1.65858432</t>
  </si>
  <si>
    <t>Culture art                          .047740469            4.94720788</t>
  </si>
  <si>
    <t>Financial institutions                          -.868933857            .466455514</t>
  </si>
  <si>
    <t>Shopping center                          -.41437406            7.54238927</t>
  </si>
  <si>
    <t>Factory                          .065755328            .494565214</t>
  </si>
  <si>
    <t>University                          -5.51471235            1.01961692</t>
  </si>
  <si>
    <t>Population                          -.072486842            3.13812072</t>
  </si>
  <si>
    <t>floatingpopulationpercent                          -4.00099387            18.4731485</t>
  </si>
  <si>
    <t>Observations:                     138</t>
  </si>
  <si>
    <t>Degrees of Freedom:               123</t>
  </si>
  <si>
    <t>Sum of Squared Errors:            6267.63046</t>
  </si>
  <si>
    <t>Residual Variance:                50.9563452</t>
  </si>
  <si>
    <t>R-squared:                        .844962834</t>
  </si>
  <si>
    <t>Regime2    q&gt;131</t>
  </si>
  <si>
    <t>Independent Variables         Low                      High</t>
  </si>
  <si>
    <t>Intercept                     -30.1653966             228.477298</t>
  </si>
  <si>
    <t>Density                           -.228518648            .235401988</t>
  </si>
  <si>
    <t>Agglomeration                           -33.8621851            7.7907872</t>
  </si>
  <si>
    <t>Location                           -48.3321719            6.90863624</t>
  </si>
  <si>
    <t>Bus                           -.106048397            1.28267442</t>
  </si>
  <si>
    <t>Coach Station                           -44.3156401            1.17380122</t>
  </si>
  <si>
    <t>Commercial office                           -.42877613            .132437171</t>
  </si>
  <si>
    <t>Development zones                           -2.82933874            2.09356575</t>
  </si>
  <si>
    <t>Culture art                           -11.792834            3.07784709</t>
  </si>
  <si>
    <t>Financial institutions                           -.592064667            1.67712326</t>
  </si>
  <si>
    <t>Shopping center                           -37.3056837            .996494534</t>
  </si>
  <si>
    <t>Factory                           -.004466182            1.99334543</t>
  </si>
  <si>
    <t>University                           -4.50790832            35.8579913</t>
  </si>
  <si>
    <t>Population                           -13.7487267            2.89143504</t>
  </si>
  <si>
    <t>floatingpopulationpercent                           -68.9320371            90.4028942</t>
  </si>
  <si>
    <t>Observations:                     30</t>
  </si>
  <si>
    <t>Degrees of Freedom:               15</t>
  </si>
  <si>
    <t>Sum of Squared Errors:            3223.46663</t>
  </si>
  <si>
    <t>Residual Variance:                214.897776</t>
  </si>
  <si>
    <t>R-squared:                        .791977776</t>
  </si>
  <si>
    <t xml:space="preserve">. </t>
  </si>
  <si>
    <t>. drop if ec23&lt;=131</t>
  </si>
  <si>
    <t>(138 observations deleted)</t>
  </si>
  <si>
    <t>. thresholdtest expansion0823 Density Agglomeration Location Bus Coach Station Commercial office Development zones Culture art</t>
  </si>
  <si>
    <t>&gt;  Financial institutions Shopping center Factory University Population floatingpopulationpercent , q( ec23 ) trim_per(0.1</t>
  </si>
  <si>
    <t>&gt; 5) rep(5000)</t>
  </si>
  <si>
    <t>Threshold Estimate:               339</t>
  </si>
  <si>
    <t>LM-test for no threshold:         18.0973068</t>
  </si>
  <si>
    <t>Bootstrap P-Value:                .3594</t>
  </si>
  <si>
    <t>.  thresholdtest expansion0823 Scale Agglomeration Location Bus CoachStation Commercialoffice Cultur</t>
  </si>
  <si>
    <t>&gt; eart Developmentzones Financialinstitutions Shoppingcenter Factory University Population floatingp</t>
  </si>
  <si>
    <t>&gt; opulationpercent , q( Density ) trim_per(0.15) rep(5000)</t>
  </si>
  <si>
    <t>Threshold Estimate:               .159270938</t>
  </si>
  <si>
    <t>LM-test for no threshold:         31.9446876</t>
  </si>
  <si>
    <t>Bootstrap P-Value:                .0044</t>
  </si>
  <si>
    <t>. thresholdreg expansion0823 Scale Agglomeration Location Bus Coach Station Commercial office Development zones Culture art</t>
  </si>
  <si>
    <t>&gt;  Financial institutions Shopping center Factory University Population floatingpopulationpercent , q( Density ) h(1)</t>
  </si>
  <si>
    <t>Intercept                    2.186293               2.27410753</t>
  </si>
  <si>
    <t>Scale                        .680470091               .779679518</t>
  </si>
  <si>
    <t>Agglomeration                        .614171837               1.49709817</t>
  </si>
  <si>
    <t>Location                        -.627647109               1.74815546</t>
  </si>
  <si>
    <t>Bus                        .177826554               .032089663</t>
  </si>
  <si>
    <t>Coach Station                        -3.1042911               1.77765211</t>
  </si>
  <si>
    <t>Commercial office                        -.307485094               .085704088</t>
  </si>
  <si>
    <t>Development zones                        .965155932               .352947283</t>
  </si>
  <si>
    <t>Culture art                        1.30812152               1.18526852</t>
  </si>
  <si>
    <t>Financial institutions                        -.11446435               .178874409</t>
  </si>
  <si>
    <t>Shopping center                        -.125262501               1.25046915</t>
  </si>
  <si>
    <t>Factory                        .305856355               .087606771</t>
  </si>
  <si>
    <t>University                        -2.74179486               1.10827464</t>
  </si>
  <si>
    <t>Population                        .81062378               .624166127</t>
  </si>
  <si>
    <t>floatingpopulationpercent                        -.723505117               4.87509429</t>
  </si>
  <si>
    <t>Sum of Squared Errors:             15185.8465</t>
  </si>
  <si>
    <t>Residual Variance:                 99.2538984</t>
  </si>
  <si>
    <t>R-squared:                         .744316042</t>
  </si>
  <si>
    <t>Heteroskedasticity Test (P-Value): .021407789</t>
  </si>
  <si>
    <t>Threshold Estimate:               .240930477</t>
  </si>
  <si>
    <t>.95 Confidence Iterval:           [.155256661,.28645615]</t>
  </si>
  <si>
    <t>Sum of Squared Errors             9533.66962</t>
  </si>
  <si>
    <t>Residual Variance:                69.0845625</t>
  </si>
  <si>
    <t>Joint R-Squared:                  .839481692</t>
  </si>
  <si>
    <t>Heteroskedasticity Test (p-value):.021407789</t>
  </si>
  <si>
    <t>Regime1     q&lt;=.240930477</t>
  </si>
  <si>
    <t>Intercept                    -8.9908799             2.55787706</t>
  </si>
  <si>
    <t>Scale                          -1.25029309            1.11501651</t>
  </si>
  <si>
    <t>Agglomeration                          -5.26734011            2.18814726</t>
  </si>
  <si>
    <t>Location                          -3.43243927            5.17763919</t>
  </si>
  <si>
    <t>Bus                          .044113499            .177250731</t>
  </si>
  <si>
    <t>Coach Station                          -4.56564905            1.14695989</t>
  </si>
  <si>
    <t>Commercial office                          -.877404983            .505344689</t>
  </si>
  <si>
    <t>Development zones                          -1.08882712            1.52932408</t>
  </si>
  <si>
    <t>Culture art                          -.160731118            5.02319288</t>
  </si>
  <si>
    <t>Financial institutions                          -.861730417            .390344576</t>
  </si>
  <si>
    <t>Shopping center                          -.073345794            7.31600059</t>
  </si>
  <si>
    <t>Factory                          .120431473            .4966647</t>
  </si>
  <si>
    <t>University                          -4.47280711            4.80661451</t>
  </si>
  <si>
    <t>Population                          .558366503            2.63082893</t>
  </si>
  <si>
    <t>floatingpopulationpercent                          2.55602845            22.0996101</t>
  </si>
  <si>
    <t>Observations:                     122</t>
  </si>
  <si>
    <t>Degrees of Freedom:               107</t>
  </si>
  <si>
    <t>Sum of Squared Errors:            4285.13196</t>
  </si>
  <si>
    <t>Residual Variance:                40.0479623</t>
  </si>
  <si>
    <t>R-squared:                        .88937545</t>
  </si>
  <si>
    <t>Regime2    q&gt;.240930477</t>
  </si>
  <si>
    <t>Intercept                     -16.1369068             20.7141313</t>
  </si>
  <si>
    <t>Scale                           -4.52137869            13.5513618</t>
  </si>
  <si>
    <t>Agglomeration                           -1.00145197            5.40709636</t>
  </si>
  <si>
    <t>Location                           -8.67412594            7.02018384</t>
  </si>
  <si>
    <t>Bus                           .03559561            .566004586</t>
  </si>
  <si>
    <t>Coach Station                           -13.7865945            -.094219318</t>
  </si>
  <si>
    <t>Commercial office                           -.271637943            .017202077</t>
  </si>
  <si>
    <t>Development zones                           .27145078            2.38773929</t>
  </si>
  <si>
    <t>Culture art                           -4.97326096            1.38069195</t>
  </si>
  <si>
    <t>Financial institutions                           -.565933048            .302539044</t>
  </si>
  <si>
    <t>Shopping center                           -5.84324675            1.18707974</t>
  </si>
  <si>
    <t>Factory                           -.022550244            .341629591</t>
  </si>
  <si>
    <t>University                           -3.61779708            .673990162</t>
  </si>
  <si>
    <t>Population                           -.56700459            2.13528564</t>
  </si>
  <si>
    <t>floatingpopulationpercent                           -46.711659            9.09030595</t>
  </si>
  <si>
    <t>Observations:                     46</t>
  </si>
  <si>
    <t>Degrees of Freedom:               31</t>
  </si>
  <si>
    <t>Sum of Squared Errors:            5248.53766</t>
  </si>
  <si>
    <t>Residual Variance:                169.307666</t>
  </si>
  <si>
    <t>R-squared:                        .732328731</t>
  </si>
  <si>
    <t>. drop if Density&lt;=0.24093</t>
  </si>
  <si>
    <t>(121 observations deleted)</t>
  </si>
  <si>
    <t>. thresholdtest expansion0823 Scale Agglomeration Location Bus Coach Station Commercial office Development zones Culture art</t>
  </si>
  <si>
    <t>&gt;  Financial institutions Shopping center Factory University Population floatingpopulationpercent , q( Density ) trim_per(0.</t>
  </si>
  <si>
    <t>&gt; 15) rep(5000)</t>
  </si>
  <si>
    <t>Threshold Estimate:               1.09069096</t>
  </si>
  <si>
    <t>LM-test for no threshold:         20.6371718</t>
  </si>
  <si>
    <t>Bootstrap P-Value:                .3304</t>
  </si>
  <si>
    <t>. reg expansion0823 Scale Agglomeration Location Bus Coach Station Commercial office Development zones Culture art Financial institutions</t>
  </si>
  <si>
    <t>&gt;  Shopping center Factory University Population floatingpopulationpercent  Density</t>
  </si>
  <si>
    <t xml:space="preserve">      Source |       SS           df       MS      Number of obs   =        47</t>
  </si>
  <si>
    <t xml:space="preserve">       Model |  14339.0544        15  955.936957   Prob &gt; F        =    0.0000</t>
  </si>
  <si>
    <t xml:space="preserve">    Residual |  5274.39326        31  170.141718   R-squared       =    0.7311</t>
  </si>
  <si>
    <t>-------------+----------------------------------   Adj R-squared   =    0.6010</t>
  </si>
  <si>
    <t xml:space="preserve">       Total |  19613.4476        46  426.379296   Root MSE        =    13.044</t>
  </si>
  <si>
    <t>-------------------------------------------------------------------------------------------</t>
  </si>
  <si>
    <t xml:space="preserve">            expansion0823 |      Coef.   Std. Err.      t    P&gt;|t|     [95% Conf. Interval]</t>
  </si>
  <si>
    <t>--------------------------+----------------------------------------------------------------</t>
  </si>
  <si>
    <t xml:space="preserve">                    Scale |   7.650665   6.047106     1.27   0.215    -4.682488    19.98382</t>
  </si>
  <si>
    <t xml:space="preserve">            Agglomeration |     2.5841   1.634763     1.58   0.124    -.7500205     5.91822</t>
  </si>
  <si>
    <t xml:space="preserve">                 Location |  -2.379961   3.886467    -0.61   0.545    -10.30646     5.54654</t>
  </si>
  <si>
    <t xml:space="preserve">                     Bus |   .3150231   .1381084     2.28   0.030     .0333492     .596697</t>
  </si>
  <si>
    <t xml:space="preserve">                 Coach Station |   -6.89952   3.281888    -2.10   0.044    -13.59297   -.2060667</t>
  </si>
  <si>
    <t xml:space="preserve">               Commercial office |   -.104463   .1116303    -0.94   0.357    -.3321345    .1232085</t>
  </si>
  <si>
    <t xml:space="preserve">                 Development zones |   .8337969    .657011     1.27   0.214    -.5061858     2.17378</t>
  </si>
  <si>
    <t xml:space="preserve">                 Culture art |  -1.739024   1.913772    -0.91   0.371    -5.642188    2.164141</t>
  </si>
  <si>
    <t xml:space="preserve">             Financial institutions |  -.1238198   .2924043    -0.42   0.675    -.7201823    .4725426</t>
  </si>
  <si>
    <t xml:space="preserve">                 Shopping center |  -2.746994   1.591691    -1.73   0.094     -5.99327    .4992826</t>
  </si>
  <si>
    <t xml:space="preserve">                     Factory |   .1912769   .1159822     1.65   0.109    -.0452702    .4278241</t>
  </si>
  <si>
    <t xml:space="preserve">                     University |  -1.118852    1.87853    -0.60   0.556    -4.950139    2.712434</t>
  </si>
  <si>
    <t xml:space="preserve">               Population |   .6274333   .8974906     0.70   0.490    -1.203011    2.457877</t>
  </si>
  <si>
    <t>floatingpopulationpercent |  -14.71778   12.17317    -1.21   0.236    -39.54512    10.10956</t>
  </si>
  <si>
    <t xml:space="preserve">                  Density |  -.0600298   .1348508    -0.45   0.659    -.3350599    .2150002</t>
  </si>
  <si>
    <t xml:space="preserve">                    _cons |  -3.186267   12.86374    -0.25   0.806    -29.42203     23.0495</t>
  </si>
  <si>
    <t>. estat vif</t>
  </si>
  <si>
    <t xml:space="preserve">    Variable |       VIF       1/VIF  </t>
  </si>
  <si>
    <t>-------------+----------------------</t>
  </si>
  <si>
    <t xml:space="preserve">  Population |      7.12    0.140416</t>
  </si>
  <si>
    <t>Financial institutions |      6.43    0.155455</t>
  </si>
  <si>
    <t xml:space="preserve">        Factory |      5.89    0.169923</t>
  </si>
  <si>
    <t xml:space="preserve">  Commercial office |      5.64    0.177348</t>
  </si>
  <si>
    <t xml:space="preserve">        Bus |      4.48    0.223429</t>
  </si>
  <si>
    <t xml:space="preserve">    Development zones |      3.84    0.260691</t>
  </si>
  <si>
    <t xml:space="preserve">       Scale |      3.71    0.269527</t>
  </si>
  <si>
    <t xml:space="preserve">    Culture art |      2.84    0.352157</t>
  </si>
  <si>
    <t xml:space="preserve">     Density |      2.83    0.353699</t>
  </si>
  <si>
    <t xml:space="preserve">    Location |      2.17    0.460363</t>
  </si>
  <si>
    <t xml:space="preserve">        University |      2.01    0.497381</t>
  </si>
  <si>
    <t xml:space="preserve">    Shopping center |      1.92    0.520170</t>
  </si>
  <si>
    <t>floatingpo~t |      1.70    0.588811</t>
  </si>
  <si>
    <t xml:space="preserve">    Coach Station |      1.50    0.665269</t>
  </si>
  <si>
    <t>Agglomerat~n |      1.24    0.807013</t>
  </si>
  <si>
    <t xml:space="preserve">    Mean VIF |      3.55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</si>
</sst>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"/>
    <numFmt numFmtId="178" formatCode="0.00_);[Red]\(0.00\)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8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1" fillId="0" borderId="0" xfId="0" applyNumberFormat="1" applyFont="1">
      <alignment vertical="center"/>
    </xf>
    <xf numFmtId="0" fontId="0" fillId="0" borderId="0" xfId="0" applyFont="1" applyFill="1" applyBorder="1" applyAlignmen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4" fillId="0" borderId="0" xfId="0" applyFont="1">
      <alignment vertical="center"/>
    </xf>
    <xf numFmtId="10" fontId="4" fillId="0" borderId="0" xfId="3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NumberFormat="1" applyFont="1">
      <alignment vertical="center"/>
    </xf>
    <xf numFmtId="0" fontId="6" fillId="0" borderId="0" xfId="0" applyFont="1" applyFill="1" applyAlignment="1">
      <alignment horizontal="center" wrapText="1"/>
    </xf>
    <xf numFmtId="10" fontId="6" fillId="0" borderId="0" xfId="3" applyNumberFormat="1" applyFont="1" applyFill="1" applyAlignment="1">
      <alignment horizontal="center" wrapText="1"/>
    </xf>
    <xf numFmtId="0" fontId="6" fillId="0" borderId="0" xfId="3" applyNumberFormat="1" applyFont="1" applyFill="1" applyAlignment="1">
      <alignment horizontal="center" wrapText="1"/>
    </xf>
    <xf numFmtId="178" fontId="4" fillId="0" borderId="0" xfId="3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9"/>
  <sheetViews>
    <sheetView tabSelected="1" workbookViewId="0">
      <selection activeCell="A1" sqref="A1"/>
    </sheetView>
  </sheetViews>
  <sheetFormatPr defaultColWidth="9.025" defaultRowHeight="15"/>
  <cols>
    <col min="1" max="4" width="9.025" style="16"/>
    <col min="5" max="6" width="11.125" style="16"/>
    <col min="7" max="7" width="12" style="16"/>
    <col min="8" max="8" width="11.1416666666667" customWidth="1"/>
    <col min="9" max="9" width="15.8916666666667" customWidth="1"/>
    <col min="10" max="10" width="21.3333333333333" customWidth="1"/>
    <col min="11" max="11" width="14.1333333333333" customWidth="1"/>
    <col min="12" max="12" width="16.0333333333333" customWidth="1"/>
    <col min="13" max="13" width="16.7166666666667" customWidth="1"/>
    <col min="14" max="14" width="18.2083333333333" customWidth="1"/>
    <col min="15" max="15" width="15.2166666666667" customWidth="1"/>
    <col min="16" max="16" width="12.6333333333333" customWidth="1"/>
    <col min="17" max="18" width="9.025" style="16"/>
    <col min="19" max="19" width="13.75" style="17"/>
    <col min="20" max="20" width="14.475" style="16" customWidth="1"/>
    <col min="21" max="21" width="12.3666666666667" style="16" customWidth="1"/>
    <col min="22" max="22" width="12.8" style="16"/>
    <col min="23" max="23" width="12.6083333333333" style="16" customWidth="1"/>
    <col min="24" max="24" width="12.8" style="16"/>
    <col min="25" max="25" width="13.75" style="16"/>
    <col min="26" max="16384" width="9.025" style="16"/>
  </cols>
  <sheetData>
    <row r="1" ht="15.75" spans="1:26">
      <c r="A1" s="16" t="s">
        <v>0</v>
      </c>
      <c r="B1" s="16" t="s">
        <v>1</v>
      </c>
      <c r="C1" s="18" t="s">
        <v>2</v>
      </c>
      <c r="D1" s="16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6" t="s">
        <v>19</v>
      </c>
      <c r="U1" s="19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7"/>
    </row>
    <row r="2" spans="1:26">
      <c r="A2" s="16">
        <v>1</v>
      </c>
      <c r="B2" s="20" t="s">
        <v>25</v>
      </c>
      <c r="C2" s="20">
        <v>3</v>
      </c>
      <c r="D2" s="20">
        <v>87</v>
      </c>
      <c r="E2" s="20">
        <f>LOG(D2+0.01)</f>
        <v>1.9395691686559</v>
      </c>
      <c r="F2" s="21">
        <f>D2/T2*100000</f>
        <v>2.37334512009085</v>
      </c>
      <c r="G2" s="22">
        <v>2.24657063785</v>
      </c>
      <c r="H2">
        <v>26</v>
      </c>
      <c r="I2">
        <v>1</v>
      </c>
      <c r="J2">
        <v>18</v>
      </c>
      <c r="K2">
        <v>3</v>
      </c>
      <c r="L2">
        <v>4</v>
      </c>
      <c r="M2">
        <v>7</v>
      </c>
      <c r="N2">
        <v>4</v>
      </c>
      <c r="O2">
        <v>10</v>
      </c>
      <c r="P2">
        <v>0</v>
      </c>
      <c r="Q2" s="16">
        <v>3.8093</v>
      </c>
      <c r="R2" s="16">
        <v>20917</v>
      </c>
      <c r="S2" s="17">
        <f>R2/Q2/10000</f>
        <v>0.549103509831203</v>
      </c>
      <c r="T2" s="16">
        <v>3665712.131941</v>
      </c>
      <c r="U2" s="16">
        <v>19.48459786528</v>
      </c>
      <c r="V2" s="16">
        <v>19.996644899</v>
      </c>
      <c r="W2" s="16">
        <v>20.068644899</v>
      </c>
      <c r="X2" s="16">
        <v>20.149644899</v>
      </c>
      <c r="Y2" s="23">
        <f>X2-U2</f>
        <v>0.665047033719997</v>
      </c>
      <c r="Z2" s="23"/>
    </row>
    <row r="3" spans="1:26">
      <c r="A3" s="16">
        <v>2</v>
      </c>
      <c r="B3" s="20" t="s">
        <v>26</v>
      </c>
      <c r="C3" s="20">
        <v>1</v>
      </c>
      <c r="D3" s="20">
        <v>20</v>
      </c>
      <c r="E3" s="20">
        <f t="shared" ref="E3:E34" si="0">LOG(D3+0.01)</f>
        <v>1.30124708863621</v>
      </c>
      <c r="F3" s="21">
        <f t="shared" ref="F2:F65" si="1">D3/T3*100000</f>
        <v>1.85079387548495</v>
      </c>
      <c r="G3" s="22">
        <v>2.17845124603</v>
      </c>
      <c r="H3">
        <v>5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 s="16">
        <v>1.8328</v>
      </c>
      <c r="R3" s="16">
        <v>8535</v>
      </c>
      <c r="S3" s="17">
        <f t="shared" ref="S3:S34" si="2">R3/Q3/10000</f>
        <v>0.465680925360105</v>
      </c>
      <c r="T3" s="16">
        <v>1080617.364522</v>
      </c>
      <c r="U3" s="16">
        <v>8.90239910935</v>
      </c>
      <c r="V3" s="16">
        <v>8.9631764074</v>
      </c>
      <c r="W3" s="16">
        <v>8.97208396179</v>
      </c>
      <c r="X3" s="16">
        <v>8.97693577259</v>
      </c>
      <c r="Y3" s="23">
        <f t="shared" ref="Y3:Y34" si="3">X3-U3</f>
        <v>0.07453666324</v>
      </c>
    </row>
    <row r="4" spans="1:26">
      <c r="A4" s="16">
        <v>3</v>
      </c>
      <c r="B4" s="20" t="s">
        <v>27</v>
      </c>
      <c r="C4" s="20">
        <v>2</v>
      </c>
      <c r="D4" s="20">
        <v>58</v>
      </c>
      <c r="E4" s="20">
        <f t="shared" si="0"/>
        <v>1.7635028654676</v>
      </c>
      <c r="F4" s="21">
        <f t="shared" si="1"/>
        <v>2.37827495002982</v>
      </c>
      <c r="G4" s="22">
        <v>2.24017962789</v>
      </c>
      <c r="H4">
        <v>13</v>
      </c>
      <c r="I4">
        <v>0</v>
      </c>
      <c r="J4">
        <v>21</v>
      </c>
      <c r="K4">
        <v>2</v>
      </c>
      <c r="L4">
        <v>2</v>
      </c>
      <c r="M4">
        <v>13</v>
      </c>
      <c r="N4">
        <v>0</v>
      </c>
      <c r="O4">
        <v>3</v>
      </c>
      <c r="P4">
        <v>0</v>
      </c>
      <c r="Q4" s="16">
        <v>4.4915</v>
      </c>
      <c r="R4" s="16">
        <v>23902</v>
      </c>
      <c r="S4" s="17">
        <f t="shared" si="2"/>
        <v>0.532160748079706</v>
      </c>
      <c r="T4" s="16">
        <v>2438742.417031</v>
      </c>
      <c r="U4" s="16">
        <v>24.03572535207</v>
      </c>
      <c r="V4" s="16">
        <v>24.04472535207</v>
      </c>
      <c r="W4" s="16">
        <v>24.04472535207</v>
      </c>
      <c r="X4" s="16">
        <v>24.04472535207</v>
      </c>
      <c r="Y4" s="23">
        <f t="shared" si="3"/>
        <v>0.00900000000000034</v>
      </c>
    </row>
    <row r="5" spans="1:26">
      <c r="A5" s="16">
        <v>4</v>
      </c>
      <c r="B5" s="20" t="s">
        <v>28</v>
      </c>
      <c r="C5" s="20">
        <v>1</v>
      </c>
      <c r="D5" s="20">
        <v>41</v>
      </c>
      <c r="E5" s="20">
        <f t="shared" si="0"/>
        <v>1.61288976928748</v>
      </c>
      <c r="F5" s="21">
        <f t="shared" si="1"/>
        <v>1.52315362423396</v>
      </c>
      <c r="G5" s="22">
        <v>2.24017962789</v>
      </c>
      <c r="H5">
        <v>11</v>
      </c>
      <c r="I5">
        <v>0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4</v>
      </c>
      <c r="Q5" s="16">
        <v>6.0843</v>
      </c>
      <c r="R5" s="16">
        <v>28939</v>
      </c>
      <c r="S5" s="17">
        <f t="shared" si="2"/>
        <v>0.475634008842431</v>
      </c>
      <c r="T5" s="16">
        <v>2691783.635457</v>
      </c>
      <c r="U5" s="16">
        <v>26.28057466822</v>
      </c>
      <c r="V5" s="16">
        <v>26.42923744155</v>
      </c>
      <c r="W5" s="16">
        <v>26.44723744155</v>
      </c>
      <c r="X5" s="16">
        <v>26.45623744155</v>
      </c>
      <c r="Y5" s="23">
        <f t="shared" si="3"/>
        <v>0.17566277333</v>
      </c>
    </row>
    <row r="6" spans="1:26">
      <c r="A6" s="16">
        <v>5</v>
      </c>
      <c r="B6" s="20" t="s">
        <v>29</v>
      </c>
      <c r="C6" s="20">
        <v>2</v>
      </c>
      <c r="D6" s="20">
        <v>65</v>
      </c>
      <c r="E6" s="20">
        <f t="shared" si="0"/>
        <v>1.81298016603948</v>
      </c>
      <c r="F6" s="21">
        <f t="shared" si="1"/>
        <v>0.657084296298844</v>
      </c>
      <c r="G6" s="22">
        <v>2.24513266061</v>
      </c>
      <c r="H6">
        <v>16</v>
      </c>
      <c r="I6">
        <v>0</v>
      </c>
      <c r="J6">
        <v>12</v>
      </c>
      <c r="K6">
        <v>2</v>
      </c>
      <c r="L6">
        <v>6</v>
      </c>
      <c r="M6">
        <v>6</v>
      </c>
      <c r="N6">
        <v>1</v>
      </c>
      <c r="O6">
        <v>14</v>
      </c>
      <c r="P6">
        <v>0</v>
      </c>
      <c r="Q6" s="16">
        <v>4.8342</v>
      </c>
      <c r="R6" s="16">
        <v>30582</v>
      </c>
      <c r="S6" s="17">
        <f t="shared" si="2"/>
        <v>0.63261759960283</v>
      </c>
      <c r="T6" s="16">
        <v>9892185.883322</v>
      </c>
      <c r="U6" s="16">
        <v>27.1548369805</v>
      </c>
      <c r="V6" s="16">
        <v>35.2560188811</v>
      </c>
      <c r="W6" s="16">
        <v>41.26689583239</v>
      </c>
      <c r="X6" s="16">
        <v>41.77240998061</v>
      </c>
      <c r="Y6" s="23">
        <f t="shared" si="3"/>
        <v>14.61757300011</v>
      </c>
    </row>
    <row r="7" spans="1:26">
      <c r="A7" s="16">
        <v>6</v>
      </c>
      <c r="B7" s="20" t="s">
        <v>30</v>
      </c>
      <c r="C7" s="20">
        <v>2</v>
      </c>
      <c r="D7" s="20">
        <v>197</v>
      </c>
      <c r="E7" s="20">
        <f t="shared" si="0"/>
        <v>2.29448827100726</v>
      </c>
      <c r="F7" s="21">
        <f t="shared" si="1"/>
        <v>2.28392705089859</v>
      </c>
      <c r="G7" s="22">
        <v>2.24657063785</v>
      </c>
      <c r="H7">
        <v>28</v>
      </c>
      <c r="I7">
        <v>0</v>
      </c>
      <c r="J7">
        <v>23</v>
      </c>
      <c r="K7">
        <v>0</v>
      </c>
      <c r="L7">
        <v>9</v>
      </c>
      <c r="M7">
        <v>6</v>
      </c>
      <c r="N7">
        <v>2</v>
      </c>
      <c r="O7">
        <v>25</v>
      </c>
      <c r="P7">
        <v>0</v>
      </c>
      <c r="Q7" s="16">
        <v>6.135</v>
      </c>
      <c r="R7" s="16">
        <v>46261</v>
      </c>
      <c r="S7" s="17">
        <f t="shared" si="2"/>
        <v>0.754050529747351</v>
      </c>
      <c r="T7" s="16">
        <v>8625494.405458</v>
      </c>
      <c r="U7" s="16">
        <v>35.47097693461</v>
      </c>
      <c r="V7" s="16">
        <v>41.22454961878</v>
      </c>
      <c r="W7" s="16">
        <v>43.11511902682</v>
      </c>
      <c r="X7" s="16">
        <v>43.35200183822</v>
      </c>
      <c r="Y7" s="23">
        <f t="shared" si="3"/>
        <v>7.88102490361</v>
      </c>
    </row>
    <row r="8" spans="1:26">
      <c r="A8" s="16">
        <v>7</v>
      </c>
      <c r="B8" s="20" t="s">
        <v>31</v>
      </c>
      <c r="C8" s="20">
        <v>1</v>
      </c>
      <c r="D8" s="20">
        <v>131</v>
      </c>
      <c r="E8" s="20">
        <f t="shared" si="0"/>
        <v>2.117304446641</v>
      </c>
      <c r="F8" s="21">
        <f t="shared" si="1"/>
        <v>1.28150016517586</v>
      </c>
      <c r="G8" s="22">
        <v>-0.161974509537</v>
      </c>
      <c r="H8">
        <v>27</v>
      </c>
      <c r="I8">
        <v>0</v>
      </c>
      <c r="J8">
        <v>29</v>
      </c>
      <c r="K8">
        <v>2</v>
      </c>
      <c r="L8">
        <v>12</v>
      </c>
      <c r="M8">
        <v>15</v>
      </c>
      <c r="N8">
        <v>1</v>
      </c>
      <c r="O8">
        <v>35</v>
      </c>
      <c r="P8">
        <v>2</v>
      </c>
      <c r="Q8" s="16">
        <v>7.9028</v>
      </c>
      <c r="R8" s="16">
        <v>58528</v>
      </c>
      <c r="S8" s="17">
        <f t="shared" si="2"/>
        <v>0.740598268967961</v>
      </c>
      <c r="T8" s="16">
        <v>10222394.31253</v>
      </c>
      <c r="U8" s="16">
        <v>37.59197156839</v>
      </c>
      <c r="V8" s="16">
        <v>44.10484785126</v>
      </c>
      <c r="W8" s="16">
        <v>48.88398521453</v>
      </c>
      <c r="X8" s="16">
        <v>50.05454262981</v>
      </c>
      <c r="Y8" s="23">
        <f t="shared" si="3"/>
        <v>12.46257106142</v>
      </c>
    </row>
    <row r="9" spans="1:26">
      <c r="A9" s="16">
        <v>8</v>
      </c>
      <c r="B9" s="20" t="s">
        <v>32</v>
      </c>
      <c r="C9" s="20">
        <v>1</v>
      </c>
      <c r="D9" s="20">
        <v>54</v>
      </c>
      <c r="E9" s="20">
        <f t="shared" si="0"/>
        <v>1.73247417728119</v>
      </c>
      <c r="F9" s="21">
        <f t="shared" si="1"/>
        <v>0.437865348238787</v>
      </c>
      <c r="G9" s="22">
        <v>-0.429677772279</v>
      </c>
      <c r="H9">
        <v>21</v>
      </c>
      <c r="I9">
        <v>0</v>
      </c>
      <c r="J9">
        <v>8</v>
      </c>
      <c r="K9">
        <v>0</v>
      </c>
      <c r="L9">
        <v>8</v>
      </c>
      <c r="M9">
        <v>9</v>
      </c>
      <c r="N9">
        <v>0</v>
      </c>
      <c r="O9">
        <v>39</v>
      </c>
      <c r="P9">
        <v>1</v>
      </c>
      <c r="Q9" s="16">
        <v>4.5213</v>
      </c>
      <c r="R9" s="16">
        <v>30490</v>
      </c>
      <c r="S9" s="17">
        <f t="shared" si="2"/>
        <v>0.674363568000354</v>
      </c>
      <c r="T9" s="19">
        <v>12332558.449122</v>
      </c>
      <c r="U9" s="16">
        <v>40.7839964287</v>
      </c>
      <c r="V9" s="16">
        <v>53.02058964858</v>
      </c>
      <c r="W9" s="16">
        <v>58.8051072164</v>
      </c>
      <c r="X9" s="16">
        <v>60.17009534723</v>
      </c>
      <c r="Y9" s="23">
        <f t="shared" si="3"/>
        <v>19.38609891853</v>
      </c>
    </row>
    <row r="10" ht="24" spans="1:26">
      <c r="A10" s="16">
        <v>9</v>
      </c>
      <c r="B10" s="20" t="s">
        <v>33</v>
      </c>
      <c r="C10" s="20">
        <v>1</v>
      </c>
      <c r="D10" s="20">
        <v>57</v>
      </c>
      <c r="E10" s="20">
        <f t="shared" si="0"/>
        <v>1.75595104100413</v>
      </c>
      <c r="F10" s="21">
        <f t="shared" si="1"/>
        <v>0.892034605125766</v>
      </c>
      <c r="G10" s="22">
        <v>-0.324239262385</v>
      </c>
      <c r="H10">
        <v>23</v>
      </c>
      <c r="I10">
        <v>0</v>
      </c>
      <c r="J10">
        <v>17</v>
      </c>
      <c r="K10">
        <v>0</v>
      </c>
      <c r="L10">
        <v>13</v>
      </c>
      <c r="M10">
        <v>9</v>
      </c>
      <c r="N10">
        <v>0</v>
      </c>
      <c r="O10">
        <v>9</v>
      </c>
      <c r="P10">
        <v>0</v>
      </c>
      <c r="Q10" s="16">
        <v>3.2249</v>
      </c>
      <c r="R10" s="16">
        <v>28919</v>
      </c>
      <c r="S10" s="17">
        <f t="shared" si="2"/>
        <v>0.896740984216565</v>
      </c>
      <c r="T10" s="16">
        <v>6389886.633598</v>
      </c>
      <c r="U10" s="16">
        <v>38.98862521869</v>
      </c>
      <c r="V10" s="16">
        <v>46.71878790917</v>
      </c>
      <c r="W10" s="16">
        <v>49.71129085971</v>
      </c>
      <c r="X10" s="16">
        <v>50.45282022731</v>
      </c>
      <c r="Y10" s="23">
        <f t="shared" si="3"/>
        <v>11.46419500862</v>
      </c>
    </row>
    <row r="11" spans="1:26">
      <c r="A11" s="16">
        <v>10</v>
      </c>
      <c r="B11" s="20" t="s">
        <v>34</v>
      </c>
      <c r="C11" s="20">
        <v>2</v>
      </c>
      <c r="D11" s="20">
        <v>113</v>
      </c>
      <c r="E11" s="20">
        <f t="shared" si="0"/>
        <v>2.05311687492293</v>
      </c>
      <c r="F11" s="21">
        <f t="shared" si="1"/>
        <v>1.96502107640409</v>
      </c>
      <c r="G11" s="22">
        <v>2.1907479301</v>
      </c>
      <c r="H11">
        <v>46</v>
      </c>
      <c r="I11">
        <v>0</v>
      </c>
      <c r="J11">
        <v>69</v>
      </c>
      <c r="K11">
        <v>6</v>
      </c>
      <c r="L11">
        <v>9</v>
      </c>
      <c r="M11">
        <v>48</v>
      </c>
      <c r="N11">
        <v>0</v>
      </c>
      <c r="O11">
        <v>13</v>
      </c>
      <c r="P11">
        <v>2</v>
      </c>
      <c r="Q11" s="16">
        <v>8.0668</v>
      </c>
      <c r="R11" s="16">
        <v>51267</v>
      </c>
      <c r="S11" s="17">
        <f t="shared" si="2"/>
        <v>0.635530817672435</v>
      </c>
      <c r="T11" s="16">
        <v>5750574.452198</v>
      </c>
      <c r="U11" s="16">
        <v>34.04512621611</v>
      </c>
      <c r="V11" s="16">
        <v>34.66116010076</v>
      </c>
      <c r="W11" s="16">
        <v>35.17171630965</v>
      </c>
      <c r="X11" s="16">
        <v>35.45537172778</v>
      </c>
      <c r="Y11" s="23">
        <f t="shared" si="3"/>
        <v>1.41024551167</v>
      </c>
    </row>
    <row r="12" spans="1:26">
      <c r="A12" s="16">
        <v>11</v>
      </c>
      <c r="B12" s="20" t="s">
        <v>35</v>
      </c>
      <c r="C12" s="20">
        <v>3</v>
      </c>
      <c r="D12" s="20">
        <v>317</v>
      </c>
      <c r="E12" s="20">
        <f t="shared" si="0"/>
        <v>2.50107296214305</v>
      </c>
      <c r="F12" s="21">
        <f t="shared" si="1"/>
        <v>11.2301426079725</v>
      </c>
      <c r="G12" s="22">
        <v>-0.440100009274</v>
      </c>
      <c r="H12">
        <v>34</v>
      </c>
      <c r="I12">
        <v>1</v>
      </c>
      <c r="J12">
        <v>55</v>
      </c>
      <c r="K12">
        <v>6</v>
      </c>
      <c r="L12">
        <v>2</v>
      </c>
      <c r="M12">
        <v>28</v>
      </c>
      <c r="N12">
        <v>0</v>
      </c>
      <c r="O12">
        <v>3</v>
      </c>
      <c r="P12">
        <v>1</v>
      </c>
      <c r="Q12" s="16">
        <v>9.9776</v>
      </c>
      <c r="R12" s="16">
        <v>58264</v>
      </c>
      <c r="S12" s="17">
        <f t="shared" si="2"/>
        <v>0.583948043617704</v>
      </c>
      <c r="T12" s="16">
        <v>2822760.236143</v>
      </c>
      <c r="U12" s="16">
        <v>27.76422578533</v>
      </c>
      <c r="V12" s="16">
        <v>27.94919032787</v>
      </c>
      <c r="W12" s="16">
        <v>27.9943725118</v>
      </c>
      <c r="X12" s="16">
        <v>27.9943725118</v>
      </c>
      <c r="Y12" s="23">
        <f t="shared" si="3"/>
        <v>0.23014672647</v>
      </c>
    </row>
    <row r="13" spans="1:26">
      <c r="A13" s="16">
        <v>12</v>
      </c>
      <c r="B13" s="20" t="s">
        <v>36</v>
      </c>
      <c r="C13" s="20">
        <v>2</v>
      </c>
      <c r="D13" s="20">
        <v>254</v>
      </c>
      <c r="E13" s="20">
        <f t="shared" si="0"/>
        <v>2.40485081449132</v>
      </c>
      <c r="F13" s="21">
        <f t="shared" si="1"/>
        <v>5.58413637449552</v>
      </c>
      <c r="G13" s="22">
        <v>0.193057564041</v>
      </c>
      <c r="H13">
        <v>31</v>
      </c>
      <c r="I13">
        <v>0</v>
      </c>
      <c r="J13">
        <v>61</v>
      </c>
      <c r="K13">
        <v>4</v>
      </c>
      <c r="L13">
        <v>9</v>
      </c>
      <c r="M13">
        <v>53</v>
      </c>
      <c r="N13">
        <v>5</v>
      </c>
      <c r="O13">
        <v>3</v>
      </c>
      <c r="P13">
        <v>0</v>
      </c>
      <c r="Q13" s="16">
        <v>7.1324</v>
      </c>
      <c r="R13" s="16">
        <v>50991</v>
      </c>
      <c r="S13" s="17">
        <f t="shared" si="2"/>
        <v>0.714920643822556</v>
      </c>
      <c r="T13" s="16">
        <v>4548599.514154</v>
      </c>
      <c r="U13" s="16">
        <v>34.24725954078</v>
      </c>
      <c r="V13" s="16">
        <v>35.06213462133</v>
      </c>
      <c r="W13" s="16">
        <v>35.1381983466</v>
      </c>
      <c r="X13" s="16">
        <v>35.19627920375</v>
      </c>
      <c r="Y13" s="23">
        <f t="shared" si="3"/>
        <v>0.949019662970002</v>
      </c>
    </row>
    <row r="14" spans="1:26">
      <c r="A14" s="16">
        <v>13</v>
      </c>
      <c r="B14" s="20" t="s">
        <v>37</v>
      </c>
      <c r="C14" s="20">
        <v>1</v>
      </c>
      <c r="D14" s="20">
        <v>78</v>
      </c>
      <c r="E14" s="20">
        <f t="shared" si="0"/>
        <v>1.89215027790136</v>
      </c>
      <c r="F14" s="21">
        <f t="shared" si="1"/>
        <v>0.480013057255632</v>
      </c>
      <c r="G14" s="22">
        <v>2.39334974293</v>
      </c>
      <c r="H14">
        <v>45</v>
      </c>
      <c r="I14">
        <v>0</v>
      </c>
      <c r="J14">
        <v>19</v>
      </c>
      <c r="K14">
        <v>1</v>
      </c>
      <c r="L14">
        <v>8</v>
      </c>
      <c r="M14">
        <v>15</v>
      </c>
      <c r="N14">
        <v>1</v>
      </c>
      <c r="O14">
        <v>32</v>
      </c>
      <c r="P14">
        <v>0</v>
      </c>
      <c r="Q14" s="16">
        <v>4.3226</v>
      </c>
      <c r="R14" s="16">
        <v>32252</v>
      </c>
      <c r="S14" s="17">
        <f t="shared" si="2"/>
        <v>0.746125017350668</v>
      </c>
      <c r="T14" s="19">
        <v>16249557.969516</v>
      </c>
      <c r="U14" s="16">
        <v>31.67038755111</v>
      </c>
      <c r="V14" s="16">
        <v>33.13372274403</v>
      </c>
      <c r="W14" s="16">
        <v>34.1185552875</v>
      </c>
      <c r="X14" s="16">
        <v>34.41899737978</v>
      </c>
      <c r="Y14" s="23">
        <f t="shared" si="3"/>
        <v>2.74860982867</v>
      </c>
    </row>
    <row r="15" spans="1:26">
      <c r="A15" s="16">
        <v>14</v>
      </c>
      <c r="B15" s="20" t="s">
        <v>38</v>
      </c>
      <c r="C15" s="20">
        <v>1</v>
      </c>
      <c r="D15" s="20">
        <v>42</v>
      </c>
      <c r="E15" s="20">
        <f t="shared" si="0"/>
        <v>1.62335268153799</v>
      </c>
      <c r="F15" s="21">
        <f t="shared" si="1"/>
        <v>0.415648835193821</v>
      </c>
      <c r="G15" s="22">
        <v>2.45425594771</v>
      </c>
      <c r="H15">
        <v>5</v>
      </c>
      <c r="I15">
        <v>1</v>
      </c>
      <c r="J15">
        <v>10</v>
      </c>
      <c r="K15">
        <v>2</v>
      </c>
      <c r="L15">
        <v>11</v>
      </c>
      <c r="M15">
        <v>0</v>
      </c>
      <c r="N15">
        <v>0</v>
      </c>
      <c r="O15">
        <v>3</v>
      </c>
      <c r="P15">
        <v>2</v>
      </c>
      <c r="Q15" s="16">
        <v>3.6715</v>
      </c>
      <c r="R15" s="16">
        <v>26014</v>
      </c>
      <c r="S15" s="17">
        <f t="shared" si="2"/>
        <v>0.708538744382405</v>
      </c>
      <c r="T15" s="19">
        <v>10104683.676165</v>
      </c>
      <c r="U15" s="16">
        <v>19.56280536913</v>
      </c>
      <c r="V15" s="16">
        <v>22.74804755371</v>
      </c>
      <c r="W15" s="16">
        <v>24.61070098039</v>
      </c>
      <c r="X15" s="16">
        <v>25.49568571805</v>
      </c>
      <c r="Y15" s="23">
        <f t="shared" si="3"/>
        <v>5.93288034892</v>
      </c>
    </row>
    <row r="16" spans="1:26">
      <c r="A16" s="16">
        <v>15</v>
      </c>
      <c r="B16" s="20" t="s">
        <v>39</v>
      </c>
      <c r="C16" s="20">
        <v>1</v>
      </c>
      <c r="D16" s="20">
        <v>377</v>
      </c>
      <c r="E16" s="20">
        <f t="shared" si="0"/>
        <v>2.57635286980054</v>
      </c>
      <c r="F16" s="21">
        <f t="shared" si="1"/>
        <v>1.7217819978293</v>
      </c>
      <c r="G16" s="22">
        <v>1.09081287022</v>
      </c>
      <c r="H16">
        <v>67</v>
      </c>
      <c r="I16">
        <v>0</v>
      </c>
      <c r="J16">
        <v>24</v>
      </c>
      <c r="K16">
        <v>3</v>
      </c>
      <c r="L16">
        <v>12</v>
      </c>
      <c r="M16">
        <v>15</v>
      </c>
      <c r="N16">
        <v>3</v>
      </c>
      <c r="O16">
        <v>15</v>
      </c>
      <c r="P16">
        <v>1</v>
      </c>
      <c r="Q16" s="16">
        <v>9.297</v>
      </c>
      <c r="R16" s="16">
        <v>60047</v>
      </c>
      <c r="S16" s="17">
        <f t="shared" si="2"/>
        <v>0.645875013445197</v>
      </c>
      <c r="T16" s="19">
        <v>21895919.487792</v>
      </c>
      <c r="U16" s="16">
        <v>69.02406564843</v>
      </c>
      <c r="V16" s="16">
        <v>85.03079228648</v>
      </c>
      <c r="W16" s="16">
        <v>90.32154165982</v>
      </c>
      <c r="X16" s="16">
        <v>93.42477123427</v>
      </c>
      <c r="Y16" s="23">
        <f t="shared" si="3"/>
        <v>24.40070558584</v>
      </c>
    </row>
    <row r="17" spans="1:25">
      <c r="A17" s="16">
        <v>16</v>
      </c>
      <c r="B17" s="20" t="s">
        <v>40</v>
      </c>
      <c r="C17" s="20">
        <v>2</v>
      </c>
      <c r="D17" s="20">
        <v>1293</v>
      </c>
      <c r="E17" s="20">
        <f t="shared" si="0"/>
        <v>3.1116018836801</v>
      </c>
      <c r="F17" s="21">
        <f t="shared" si="1"/>
        <v>3.68132445823843</v>
      </c>
      <c r="G17" s="22">
        <v>2.28651445004</v>
      </c>
      <c r="H17">
        <v>77</v>
      </c>
      <c r="I17">
        <v>0</v>
      </c>
      <c r="J17">
        <v>57</v>
      </c>
      <c r="K17">
        <v>3</v>
      </c>
      <c r="L17">
        <v>18</v>
      </c>
      <c r="M17">
        <v>62</v>
      </c>
      <c r="N17">
        <v>6</v>
      </c>
      <c r="O17">
        <v>25</v>
      </c>
      <c r="P17">
        <v>8</v>
      </c>
      <c r="Q17" s="16">
        <v>18.9819</v>
      </c>
      <c r="R17" s="16">
        <v>134026</v>
      </c>
      <c r="S17" s="17">
        <f t="shared" si="2"/>
        <v>0.706072627081588</v>
      </c>
      <c r="T17" s="19">
        <v>35123228.464864</v>
      </c>
      <c r="U17" s="16">
        <v>117.485858642</v>
      </c>
      <c r="V17" s="19">
        <v>130.48855087025</v>
      </c>
      <c r="W17" s="19">
        <v>136.93729914578</v>
      </c>
      <c r="X17" s="19">
        <v>139.04329914578</v>
      </c>
      <c r="Y17" s="23">
        <f t="shared" si="3"/>
        <v>21.55744050378</v>
      </c>
    </row>
    <row r="18" spans="1:25">
      <c r="A18" s="16">
        <v>17</v>
      </c>
      <c r="B18" s="20" t="s">
        <v>41</v>
      </c>
      <c r="C18" s="20">
        <v>1</v>
      </c>
      <c r="D18" s="20">
        <v>80</v>
      </c>
      <c r="E18" s="20">
        <f t="shared" si="0"/>
        <v>1.90314427040954</v>
      </c>
      <c r="F18" s="21">
        <f t="shared" si="1"/>
        <v>0.320712720586181</v>
      </c>
      <c r="G18" s="22">
        <v>2.27068860639</v>
      </c>
      <c r="H18">
        <v>26</v>
      </c>
      <c r="I18">
        <v>1</v>
      </c>
      <c r="J18">
        <v>12</v>
      </c>
      <c r="K18">
        <v>1</v>
      </c>
      <c r="L18">
        <v>7</v>
      </c>
      <c r="M18">
        <v>6</v>
      </c>
      <c r="N18">
        <v>1</v>
      </c>
      <c r="O18">
        <v>59</v>
      </c>
      <c r="P18">
        <v>3</v>
      </c>
      <c r="Q18" s="16">
        <v>8.4059</v>
      </c>
      <c r="R18" s="16">
        <v>57830</v>
      </c>
      <c r="S18" s="17">
        <f t="shared" si="2"/>
        <v>0.6879691645154</v>
      </c>
      <c r="T18" s="19">
        <v>24944442.444871</v>
      </c>
      <c r="U18" s="16">
        <v>61.61787942798</v>
      </c>
      <c r="V18" s="16">
        <v>72.61620215096</v>
      </c>
      <c r="W18" s="16">
        <v>78.49835721819</v>
      </c>
      <c r="X18" s="16">
        <v>80.75375258144</v>
      </c>
      <c r="Y18" s="23">
        <f t="shared" si="3"/>
        <v>19.13587315346</v>
      </c>
    </row>
    <row r="19" spans="1:25">
      <c r="A19" s="16">
        <v>18</v>
      </c>
      <c r="B19" s="20" t="s">
        <v>42</v>
      </c>
      <c r="C19" s="20">
        <v>3</v>
      </c>
      <c r="D19" s="20">
        <v>15311</v>
      </c>
      <c r="E19" s="20">
        <f t="shared" si="0"/>
        <v>4.18500384014038</v>
      </c>
      <c r="F19" s="21">
        <f t="shared" si="1"/>
        <v>106.213227778643</v>
      </c>
      <c r="G19" s="22">
        <v>2.50244878611</v>
      </c>
      <c r="H19">
        <v>31</v>
      </c>
      <c r="I19">
        <v>0</v>
      </c>
      <c r="J19">
        <v>18</v>
      </c>
      <c r="K19">
        <v>4</v>
      </c>
      <c r="L19">
        <v>5</v>
      </c>
      <c r="M19">
        <v>12</v>
      </c>
      <c r="N19">
        <v>0</v>
      </c>
      <c r="O19">
        <v>12</v>
      </c>
      <c r="P19">
        <v>1</v>
      </c>
      <c r="Q19" s="16">
        <v>7.2588</v>
      </c>
      <c r="R19" s="16">
        <v>48412</v>
      </c>
      <c r="S19" s="17">
        <f t="shared" si="2"/>
        <v>0.666942194302088</v>
      </c>
      <c r="T19" s="19">
        <v>14415341.968431</v>
      </c>
      <c r="U19" s="16">
        <v>42.67865874047</v>
      </c>
      <c r="V19" s="16">
        <v>48.94119320606</v>
      </c>
      <c r="W19" s="16">
        <v>51.54971510318</v>
      </c>
      <c r="X19" s="16">
        <v>52.76146709453</v>
      </c>
      <c r="Y19" s="23">
        <f t="shared" si="3"/>
        <v>10.08280835406</v>
      </c>
    </row>
    <row r="20" spans="1:25">
      <c r="A20" s="16">
        <v>19</v>
      </c>
      <c r="B20" s="20" t="s">
        <v>43</v>
      </c>
      <c r="C20" s="20">
        <v>2</v>
      </c>
      <c r="D20" s="20">
        <v>704</v>
      </c>
      <c r="E20" s="20">
        <f t="shared" si="0"/>
        <v>2.84757882805401</v>
      </c>
      <c r="F20" s="21">
        <f t="shared" si="1"/>
        <v>2.5021914546741</v>
      </c>
      <c r="G20" s="22">
        <v>2.47134818818</v>
      </c>
      <c r="H20">
        <v>26</v>
      </c>
      <c r="I20">
        <v>0</v>
      </c>
      <c r="J20">
        <v>12</v>
      </c>
      <c r="K20">
        <v>2</v>
      </c>
      <c r="L20">
        <v>8</v>
      </c>
      <c r="M20">
        <v>3</v>
      </c>
      <c r="N20">
        <v>1</v>
      </c>
      <c r="O20">
        <v>17</v>
      </c>
      <c r="P20">
        <v>0</v>
      </c>
      <c r="Q20" s="16">
        <v>4.3089</v>
      </c>
      <c r="R20" s="16">
        <v>27155</v>
      </c>
      <c r="S20" s="17">
        <f t="shared" si="2"/>
        <v>0.630207245468681</v>
      </c>
      <c r="T20" s="19">
        <v>28135337.073625</v>
      </c>
      <c r="U20" s="16">
        <v>29.7169122698</v>
      </c>
      <c r="V20" s="16">
        <v>42.16881924503</v>
      </c>
      <c r="W20" s="16">
        <v>48.93326725782</v>
      </c>
      <c r="X20" s="16">
        <v>51.89535518126</v>
      </c>
      <c r="Y20" s="23">
        <f t="shared" si="3"/>
        <v>22.17844291146</v>
      </c>
    </row>
    <row r="21" spans="1:25">
      <c r="A21" s="16">
        <v>20</v>
      </c>
      <c r="B21" s="20" t="s">
        <v>44</v>
      </c>
      <c r="C21" s="20">
        <v>1</v>
      </c>
      <c r="D21" s="20">
        <v>9</v>
      </c>
      <c r="E21" s="20">
        <f t="shared" si="0"/>
        <v>0.954724790979063</v>
      </c>
      <c r="F21" s="21">
        <f t="shared" si="1"/>
        <v>0.00830658978833592</v>
      </c>
      <c r="G21" s="22">
        <v>-0.370756986092</v>
      </c>
      <c r="H21">
        <v>25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8</v>
      </c>
      <c r="P21">
        <v>0</v>
      </c>
      <c r="Q21" s="16">
        <v>2.6107</v>
      </c>
      <c r="R21" s="16">
        <v>2940</v>
      </c>
      <c r="S21" s="17">
        <f t="shared" si="2"/>
        <v>0.112613475313134</v>
      </c>
      <c r="T21" s="19">
        <v>108347712.230087</v>
      </c>
      <c r="U21" s="16">
        <v>13.824</v>
      </c>
      <c r="V21" s="16">
        <v>16.272</v>
      </c>
      <c r="W21" s="16">
        <v>19.467</v>
      </c>
      <c r="X21" s="16">
        <v>21.519</v>
      </c>
      <c r="Y21" s="23">
        <f t="shared" si="3"/>
        <v>7.695</v>
      </c>
    </row>
    <row r="22" spans="1:25">
      <c r="A22" s="16">
        <v>21</v>
      </c>
      <c r="B22" s="20" t="s">
        <v>45</v>
      </c>
      <c r="C22" s="20">
        <v>1</v>
      </c>
      <c r="D22" s="20">
        <v>39</v>
      </c>
      <c r="E22" s="20">
        <f t="shared" si="0"/>
        <v>1.59117595031179</v>
      </c>
      <c r="F22" s="21">
        <f t="shared" si="1"/>
        <v>0.0334609464104971</v>
      </c>
      <c r="G22" s="22">
        <v>-0.426979271864</v>
      </c>
      <c r="H22">
        <v>16</v>
      </c>
      <c r="I22">
        <v>0</v>
      </c>
      <c r="J22">
        <v>0</v>
      </c>
      <c r="K22">
        <v>0</v>
      </c>
      <c r="L22">
        <v>1</v>
      </c>
      <c r="M22">
        <v>5</v>
      </c>
      <c r="N22">
        <v>0</v>
      </c>
      <c r="O22">
        <v>12</v>
      </c>
      <c r="P22">
        <v>1</v>
      </c>
      <c r="Q22" s="16">
        <v>5.8408</v>
      </c>
      <c r="R22" s="16">
        <v>14621</v>
      </c>
      <c r="S22" s="17">
        <f t="shared" si="2"/>
        <v>0.250325297904397</v>
      </c>
      <c r="T22" s="19">
        <v>116553786.379949</v>
      </c>
      <c r="U22" s="16">
        <v>32.3611215618</v>
      </c>
      <c r="V22" s="16">
        <v>37.33228291222</v>
      </c>
      <c r="W22" s="16">
        <v>41.22902467843</v>
      </c>
      <c r="X22" s="16">
        <v>43.48802467843</v>
      </c>
      <c r="Y22" s="23">
        <f t="shared" si="3"/>
        <v>11.12690311663</v>
      </c>
    </row>
    <row r="23" spans="1:25">
      <c r="A23" s="16">
        <v>22</v>
      </c>
      <c r="B23" s="20" t="s">
        <v>46</v>
      </c>
      <c r="C23" s="20">
        <v>1</v>
      </c>
      <c r="D23" s="20">
        <v>38</v>
      </c>
      <c r="E23" s="20">
        <f t="shared" si="0"/>
        <v>1.5798978696031</v>
      </c>
      <c r="F23" s="21">
        <f t="shared" si="1"/>
        <v>0.0443452651794617</v>
      </c>
      <c r="G23" s="22">
        <v>3.87390663587</v>
      </c>
      <c r="H23">
        <v>32</v>
      </c>
      <c r="I23">
        <v>0</v>
      </c>
      <c r="J23">
        <v>1</v>
      </c>
      <c r="K23">
        <v>1</v>
      </c>
      <c r="L23">
        <v>2</v>
      </c>
      <c r="M23">
        <v>4</v>
      </c>
      <c r="N23">
        <v>0</v>
      </c>
      <c r="O23">
        <v>25</v>
      </c>
      <c r="P23">
        <v>1</v>
      </c>
      <c r="Q23" s="16">
        <v>4.2414</v>
      </c>
      <c r="R23" s="16">
        <v>14613</v>
      </c>
      <c r="S23" s="17">
        <f t="shared" si="2"/>
        <v>0.344532465695289</v>
      </c>
      <c r="T23" s="19">
        <v>85691222.831157</v>
      </c>
      <c r="U23" s="16">
        <v>30.44150716354</v>
      </c>
      <c r="V23" s="16">
        <v>41.79696828781</v>
      </c>
      <c r="W23" s="16">
        <v>53.23455776902</v>
      </c>
      <c r="X23" s="16">
        <v>57.67046984559</v>
      </c>
      <c r="Y23" s="23">
        <f t="shared" si="3"/>
        <v>27.22896268205</v>
      </c>
    </row>
    <row r="24" spans="1:25">
      <c r="A24" s="16">
        <v>23</v>
      </c>
      <c r="B24" s="20" t="s">
        <v>47</v>
      </c>
      <c r="C24" s="20">
        <v>1</v>
      </c>
      <c r="D24" s="20">
        <v>2</v>
      </c>
      <c r="E24" s="20">
        <f t="shared" si="0"/>
        <v>0.303196057420489</v>
      </c>
      <c r="F24" s="21">
        <f t="shared" si="1"/>
        <v>0.00891613641468229</v>
      </c>
      <c r="G24" s="22">
        <v>-0.434180913418</v>
      </c>
      <c r="H24">
        <v>5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 s="16">
        <v>0.4566</v>
      </c>
      <c r="R24" s="16">
        <v>469</v>
      </c>
      <c r="S24" s="17">
        <f t="shared" si="2"/>
        <v>0.102715724923346</v>
      </c>
      <c r="T24" s="19">
        <v>22431240.472124</v>
      </c>
      <c r="U24" s="16">
        <v>1.323</v>
      </c>
      <c r="V24" s="16">
        <v>1.449</v>
      </c>
      <c r="W24" s="16">
        <v>1.629</v>
      </c>
      <c r="X24" s="16">
        <v>1.719</v>
      </c>
      <c r="Y24" s="23">
        <f t="shared" si="3"/>
        <v>0.396</v>
      </c>
    </row>
    <row r="25" spans="1:25">
      <c r="A25" s="16">
        <v>24</v>
      </c>
      <c r="B25" s="20" t="s">
        <v>48</v>
      </c>
      <c r="C25" s="20">
        <v>3</v>
      </c>
      <c r="D25" s="20">
        <v>59</v>
      </c>
      <c r="E25" s="20">
        <f t="shared" si="0"/>
        <v>1.770925614639</v>
      </c>
      <c r="F25" s="21">
        <f t="shared" si="1"/>
        <v>0.155256661339772</v>
      </c>
      <c r="G25" s="22">
        <v>-0.453944747935</v>
      </c>
      <c r="H25">
        <v>72</v>
      </c>
      <c r="I25">
        <v>0</v>
      </c>
      <c r="J25">
        <v>20</v>
      </c>
      <c r="K25">
        <v>3</v>
      </c>
      <c r="L25">
        <v>4</v>
      </c>
      <c r="M25">
        <v>25</v>
      </c>
      <c r="N25">
        <v>3</v>
      </c>
      <c r="O25">
        <v>15</v>
      </c>
      <c r="P25">
        <v>0</v>
      </c>
      <c r="Q25" s="16">
        <v>7.8558</v>
      </c>
      <c r="R25" s="16">
        <v>24492</v>
      </c>
      <c r="S25" s="17">
        <f t="shared" si="2"/>
        <v>0.31176964790346</v>
      </c>
      <c r="T25" s="19">
        <v>38001590.070832</v>
      </c>
      <c r="U25" s="16">
        <v>80.68516347756</v>
      </c>
      <c r="V25" s="16">
        <v>91.6036393649</v>
      </c>
      <c r="W25" s="19">
        <v>106.46626274866</v>
      </c>
      <c r="X25" s="19">
        <v>126.56935271947</v>
      </c>
      <c r="Y25" s="23">
        <f t="shared" si="3"/>
        <v>45.88418924191</v>
      </c>
    </row>
    <row r="26" spans="1:25">
      <c r="A26" s="16">
        <v>25</v>
      </c>
      <c r="B26" s="20" t="s">
        <v>49</v>
      </c>
      <c r="C26" s="20">
        <v>1</v>
      </c>
      <c r="D26" s="20">
        <v>17</v>
      </c>
      <c r="E26" s="20">
        <f t="shared" si="0"/>
        <v>1.23070431361257</v>
      </c>
      <c r="F26" s="21">
        <f t="shared" si="1"/>
        <v>0.0377546021651134</v>
      </c>
      <c r="G26" s="22">
        <v>-0.432252618225</v>
      </c>
      <c r="H26">
        <v>130</v>
      </c>
      <c r="I26">
        <v>0</v>
      </c>
      <c r="J26">
        <v>2</v>
      </c>
      <c r="K26">
        <v>1</v>
      </c>
      <c r="L26">
        <v>3</v>
      </c>
      <c r="M26">
        <v>1</v>
      </c>
      <c r="N26">
        <v>0</v>
      </c>
      <c r="O26">
        <v>10</v>
      </c>
      <c r="P26">
        <v>0</v>
      </c>
      <c r="Q26" s="16">
        <v>4.6967</v>
      </c>
      <c r="R26" s="16">
        <v>6052</v>
      </c>
      <c r="S26" s="17">
        <f t="shared" si="2"/>
        <v>0.128856431111206</v>
      </c>
      <c r="T26" s="19">
        <v>45027623.190554</v>
      </c>
      <c r="U26" s="19">
        <v>106.51942032327</v>
      </c>
      <c r="V26" s="19">
        <v>123.42501215157</v>
      </c>
      <c r="W26" s="19">
        <v>135.42905164611</v>
      </c>
      <c r="X26" s="19">
        <v>141.51458157815</v>
      </c>
      <c r="Y26" s="23">
        <f t="shared" si="3"/>
        <v>34.99516125488</v>
      </c>
    </row>
    <row r="27" spans="1:25">
      <c r="A27" s="16">
        <v>26</v>
      </c>
      <c r="B27" s="20" t="s">
        <v>50</v>
      </c>
      <c r="C27" s="20">
        <v>1</v>
      </c>
      <c r="D27" s="20">
        <v>6</v>
      </c>
      <c r="E27" s="20">
        <f t="shared" si="0"/>
        <v>0.77887447200274</v>
      </c>
      <c r="F27" s="21">
        <f t="shared" si="1"/>
        <v>0.0141929710284335</v>
      </c>
      <c r="G27" s="22">
        <v>-0.475373683946</v>
      </c>
      <c r="H27">
        <v>22</v>
      </c>
      <c r="I27">
        <v>1</v>
      </c>
      <c r="J27">
        <v>0</v>
      </c>
      <c r="K27">
        <v>0</v>
      </c>
      <c r="L27">
        <v>0</v>
      </c>
      <c r="M27">
        <v>2</v>
      </c>
      <c r="N27">
        <v>0</v>
      </c>
      <c r="O27">
        <v>2</v>
      </c>
      <c r="P27">
        <v>0</v>
      </c>
      <c r="Q27" s="16">
        <v>4.4773</v>
      </c>
      <c r="R27" s="16">
        <v>5041</v>
      </c>
      <c r="S27" s="17">
        <f t="shared" si="2"/>
        <v>0.112590177115672</v>
      </c>
      <c r="T27" s="19">
        <v>42274446.893324</v>
      </c>
      <c r="U27" s="16">
        <v>36.04055703366</v>
      </c>
      <c r="V27" s="16">
        <v>40.81955703366</v>
      </c>
      <c r="W27" s="16">
        <v>46.67793555366</v>
      </c>
      <c r="X27" s="16">
        <v>53.31093555366</v>
      </c>
      <c r="Y27" s="23">
        <f t="shared" si="3"/>
        <v>17.27037852</v>
      </c>
    </row>
    <row r="28" spans="1:25">
      <c r="A28" s="16">
        <v>27</v>
      </c>
      <c r="B28" s="20" t="s">
        <v>51</v>
      </c>
      <c r="C28" s="20">
        <v>2</v>
      </c>
      <c r="D28" s="20">
        <v>21</v>
      </c>
      <c r="E28" s="20">
        <f t="shared" si="0"/>
        <v>1.32242605240595</v>
      </c>
      <c r="F28" s="21">
        <f t="shared" si="1"/>
        <v>0.0900166135754842</v>
      </c>
      <c r="G28" s="22">
        <v>-0.432252618225</v>
      </c>
      <c r="H28">
        <v>44</v>
      </c>
      <c r="I28">
        <v>0</v>
      </c>
      <c r="J28">
        <v>4</v>
      </c>
      <c r="K28">
        <v>1</v>
      </c>
      <c r="L28">
        <v>1</v>
      </c>
      <c r="M28">
        <v>6</v>
      </c>
      <c r="N28">
        <v>0</v>
      </c>
      <c r="O28">
        <v>11</v>
      </c>
      <c r="P28">
        <v>0</v>
      </c>
      <c r="Q28" s="16">
        <v>5.2796</v>
      </c>
      <c r="R28" s="16">
        <v>17441</v>
      </c>
      <c r="S28" s="17">
        <f t="shared" si="2"/>
        <v>0.330346995984544</v>
      </c>
      <c r="T28" s="19">
        <v>23329026.905006</v>
      </c>
      <c r="U28" s="16">
        <v>47.19479453962</v>
      </c>
      <c r="V28" s="16">
        <v>54.61036909986</v>
      </c>
      <c r="W28" s="16">
        <v>58.34094157292</v>
      </c>
      <c r="X28" s="16">
        <v>60.62612477012</v>
      </c>
      <c r="Y28" s="23">
        <f t="shared" si="3"/>
        <v>13.4313302305</v>
      </c>
    </row>
    <row r="29" spans="1:25">
      <c r="A29" s="16">
        <v>28</v>
      </c>
      <c r="B29" s="20" t="s">
        <v>52</v>
      </c>
      <c r="C29" s="20">
        <v>2</v>
      </c>
      <c r="D29" s="20">
        <v>34</v>
      </c>
      <c r="E29" s="20">
        <f t="shared" si="0"/>
        <v>1.53160663193272</v>
      </c>
      <c r="F29" s="21">
        <f t="shared" si="1"/>
        <v>0.177967729508995</v>
      </c>
      <c r="G29" s="22">
        <v>-0.49699084408</v>
      </c>
      <c r="H29">
        <v>27</v>
      </c>
      <c r="I29">
        <v>0</v>
      </c>
      <c r="J29">
        <v>5</v>
      </c>
      <c r="K29">
        <v>2</v>
      </c>
      <c r="L29">
        <v>1</v>
      </c>
      <c r="M29">
        <v>6</v>
      </c>
      <c r="N29">
        <v>0</v>
      </c>
      <c r="O29">
        <v>5</v>
      </c>
      <c r="P29">
        <v>0</v>
      </c>
      <c r="Q29" s="16">
        <v>5.046</v>
      </c>
      <c r="R29" s="16">
        <v>8430</v>
      </c>
      <c r="S29" s="17">
        <f t="shared" si="2"/>
        <v>0.167063020214031</v>
      </c>
      <c r="T29" s="19">
        <v>19104587.159596</v>
      </c>
      <c r="U29" s="16">
        <v>33.95046557376</v>
      </c>
      <c r="V29" s="16">
        <v>40.14933197685</v>
      </c>
      <c r="W29" s="16">
        <v>45.50389128383</v>
      </c>
      <c r="X29" s="16">
        <v>49.76637876556</v>
      </c>
      <c r="Y29" s="23">
        <f t="shared" si="3"/>
        <v>15.8159131918</v>
      </c>
    </row>
    <row r="30" spans="1:25">
      <c r="A30" s="16">
        <v>29</v>
      </c>
      <c r="B30" s="20" t="s">
        <v>53</v>
      </c>
      <c r="C30" s="20">
        <v>2</v>
      </c>
      <c r="D30" s="20">
        <v>39</v>
      </c>
      <c r="E30" s="20">
        <f t="shared" si="0"/>
        <v>1.59117595031179</v>
      </c>
      <c r="F30" s="21">
        <f t="shared" si="1"/>
        <v>0.115164013483738</v>
      </c>
      <c r="G30" s="22">
        <v>-0.421580351555</v>
      </c>
      <c r="H30">
        <v>46</v>
      </c>
      <c r="I30">
        <v>0</v>
      </c>
      <c r="J30">
        <v>2</v>
      </c>
      <c r="K30">
        <v>0</v>
      </c>
      <c r="L30">
        <v>6</v>
      </c>
      <c r="M30">
        <v>1</v>
      </c>
      <c r="N30">
        <v>0</v>
      </c>
      <c r="O30">
        <v>8</v>
      </c>
      <c r="P30">
        <v>1</v>
      </c>
      <c r="Q30" s="16">
        <v>3.7993</v>
      </c>
      <c r="R30" s="16">
        <v>7721</v>
      </c>
      <c r="S30" s="17">
        <f t="shared" si="2"/>
        <v>0.203221646092701</v>
      </c>
      <c r="T30" s="19">
        <v>33864745.435871</v>
      </c>
      <c r="U30" s="16">
        <v>45.20549615339</v>
      </c>
      <c r="V30" s="16">
        <v>52.22726175633</v>
      </c>
      <c r="W30" s="16">
        <v>57.16521605245</v>
      </c>
      <c r="X30" s="16">
        <v>61.565302838</v>
      </c>
      <c r="Y30" s="23">
        <f t="shared" si="3"/>
        <v>16.35980668461</v>
      </c>
    </row>
    <row r="31" spans="1:25">
      <c r="A31" s="16">
        <v>30</v>
      </c>
      <c r="B31" s="20" t="s">
        <v>54</v>
      </c>
      <c r="C31" s="20">
        <v>1</v>
      </c>
      <c r="D31" s="20">
        <v>6</v>
      </c>
      <c r="E31" s="20">
        <f t="shared" si="0"/>
        <v>0.77887447200274</v>
      </c>
      <c r="F31" s="21">
        <f t="shared" si="1"/>
        <v>0.00448313536481119</v>
      </c>
      <c r="G31" s="22">
        <v>-0.33956686504</v>
      </c>
      <c r="H31">
        <v>66</v>
      </c>
      <c r="I31">
        <v>1</v>
      </c>
      <c r="J31">
        <v>1</v>
      </c>
      <c r="K31">
        <v>0</v>
      </c>
      <c r="L31">
        <v>5</v>
      </c>
      <c r="M31">
        <v>6</v>
      </c>
      <c r="N31">
        <v>0</v>
      </c>
      <c r="O31">
        <v>18</v>
      </c>
      <c r="P31">
        <v>2</v>
      </c>
      <c r="Q31" s="16">
        <v>4.2749</v>
      </c>
      <c r="R31" s="16">
        <v>5208</v>
      </c>
      <c r="S31" s="17">
        <f t="shared" si="2"/>
        <v>0.121827411167513</v>
      </c>
      <c r="T31" s="19">
        <v>133834905.969936</v>
      </c>
      <c r="U31" s="16">
        <v>51.80721567382</v>
      </c>
      <c r="V31" s="16">
        <v>56.70963359293</v>
      </c>
      <c r="W31" s="16">
        <v>61.64218732765</v>
      </c>
      <c r="X31" s="16">
        <v>64.17276369989</v>
      </c>
      <c r="Y31" s="23">
        <f t="shared" si="3"/>
        <v>12.36554802607</v>
      </c>
    </row>
    <row r="32" spans="1:25">
      <c r="A32" s="16">
        <v>31</v>
      </c>
      <c r="B32" s="20" t="s">
        <v>55</v>
      </c>
      <c r="C32" s="20">
        <v>2</v>
      </c>
      <c r="D32" s="20">
        <v>469</v>
      </c>
      <c r="E32" s="20">
        <f t="shared" si="0"/>
        <v>2.67118210262664</v>
      </c>
      <c r="F32" s="21">
        <f t="shared" si="1"/>
        <v>1.7496140015819</v>
      </c>
      <c r="G32" s="22">
        <v>-0.389110699306</v>
      </c>
      <c r="H32">
        <v>77</v>
      </c>
      <c r="I32">
        <v>1</v>
      </c>
      <c r="J32">
        <v>17</v>
      </c>
      <c r="K32">
        <v>2</v>
      </c>
      <c r="L32">
        <v>2</v>
      </c>
      <c r="M32">
        <v>38</v>
      </c>
      <c r="N32">
        <v>1</v>
      </c>
      <c r="O32">
        <v>10</v>
      </c>
      <c r="P32">
        <v>0</v>
      </c>
      <c r="Q32" s="16">
        <v>13.7297</v>
      </c>
      <c r="R32" s="16">
        <v>47946</v>
      </c>
      <c r="S32" s="17">
        <f t="shared" si="2"/>
        <v>0.349213748297486</v>
      </c>
      <c r="T32" s="19">
        <v>26805912.594204</v>
      </c>
      <c r="U32" s="16">
        <v>64.5043792982</v>
      </c>
      <c r="V32" s="16">
        <v>69.97276376809</v>
      </c>
      <c r="W32" s="16">
        <v>74.04447356403</v>
      </c>
      <c r="X32" s="16">
        <v>76.74307518715</v>
      </c>
      <c r="Y32" s="23">
        <f t="shared" si="3"/>
        <v>12.23869588895</v>
      </c>
    </row>
    <row r="33" spans="1:25">
      <c r="A33" s="16">
        <v>32</v>
      </c>
      <c r="B33" s="20" t="s">
        <v>56</v>
      </c>
      <c r="C33" s="20">
        <v>3</v>
      </c>
      <c r="D33" s="20">
        <v>162</v>
      </c>
      <c r="E33" s="20">
        <f t="shared" si="0"/>
        <v>2.2095418220166</v>
      </c>
      <c r="F33" s="21">
        <f t="shared" si="1"/>
        <v>0.33894135136022</v>
      </c>
      <c r="G33" s="22">
        <v>2.82047374019</v>
      </c>
      <c r="H33">
        <v>113</v>
      </c>
      <c r="I33">
        <v>0</v>
      </c>
      <c r="J33">
        <v>16</v>
      </c>
      <c r="K33">
        <v>3</v>
      </c>
      <c r="L33">
        <v>10</v>
      </c>
      <c r="M33">
        <v>35</v>
      </c>
      <c r="N33">
        <v>3</v>
      </c>
      <c r="O33">
        <v>53</v>
      </c>
      <c r="P33">
        <v>0</v>
      </c>
      <c r="Q33" s="16">
        <v>9.9932</v>
      </c>
      <c r="R33" s="16">
        <v>30244</v>
      </c>
      <c r="S33" s="17">
        <f t="shared" si="2"/>
        <v>0.302645799143418</v>
      </c>
      <c r="T33" s="19">
        <v>47795879.537823</v>
      </c>
      <c r="U33" s="16">
        <v>95.31735849225</v>
      </c>
      <c r="V33" s="19">
        <v>112.23514879392</v>
      </c>
      <c r="W33" s="19">
        <v>126.72542178368</v>
      </c>
      <c r="X33" s="16">
        <v>134.0633963766</v>
      </c>
      <c r="Y33" s="23">
        <f t="shared" si="3"/>
        <v>38.74603788435</v>
      </c>
    </row>
    <row r="34" spans="1:25">
      <c r="A34" s="16">
        <v>33</v>
      </c>
      <c r="B34" s="20" t="s">
        <v>57</v>
      </c>
      <c r="C34" s="20">
        <v>2</v>
      </c>
      <c r="D34" s="20">
        <v>277</v>
      </c>
      <c r="E34" s="20">
        <f t="shared" si="0"/>
        <v>2.4424954472826</v>
      </c>
      <c r="F34" s="21">
        <f t="shared" si="1"/>
        <v>0.424673242647932</v>
      </c>
      <c r="G34" s="22">
        <v>2.06868898447</v>
      </c>
      <c r="H34">
        <v>49</v>
      </c>
      <c r="I34">
        <v>0</v>
      </c>
      <c r="J34">
        <v>2</v>
      </c>
      <c r="K34">
        <v>1</v>
      </c>
      <c r="L34">
        <v>7</v>
      </c>
      <c r="M34">
        <v>6</v>
      </c>
      <c r="N34">
        <v>1</v>
      </c>
      <c r="O34">
        <v>28</v>
      </c>
      <c r="P34">
        <v>1</v>
      </c>
      <c r="Q34" s="16">
        <v>5.0273</v>
      </c>
      <c r="R34" s="16">
        <v>13673</v>
      </c>
      <c r="S34" s="17">
        <f t="shared" si="2"/>
        <v>0.271975016410399</v>
      </c>
      <c r="T34" s="19">
        <v>65226619.476387</v>
      </c>
      <c r="U34" s="16">
        <v>48.74329366007</v>
      </c>
      <c r="V34" s="16">
        <v>61.98842214713</v>
      </c>
      <c r="W34" s="16">
        <v>71.84458981601</v>
      </c>
      <c r="X34" s="16">
        <v>78.93834188599</v>
      </c>
      <c r="Y34" s="23">
        <f t="shared" si="3"/>
        <v>30.19504822592</v>
      </c>
    </row>
    <row r="35" spans="1:25">
      <c r="A35" s="16">
        <v>34</v>
      </c>
      <c r="B35" s="20" t="s">
        <v>58</v>
      </c>
      <c r="C35" s="20">
        <v>2</v>
      </c>
      <c r="D35" s="20">
        <v>19</v>
      </c>
      <c r="E35" s="20">
        <f t="shared" ref="E35:E66" si="4">LOG(D35+0.01)</f>
        <v>1.27898211686544</v>
      </c>
      <c r="F35" s="21">
        <f t="shared" si="1"/>
        <v>0.0208900187532592</v>
      </c>
      <c r="G35" s="22">
        <v>-0.321198438702</v>
      </c>
      <c r="H35">
        <v>57</v>
      </c>
      <c r="I35">
        <v>0</v>
      </c>
      <c r="J35">
        <v>0</v>
      </c>
      <c r="K35">
        <v>1</v>
      </c>
      <c r="L35">
        <v>2</v>
      </c>
      <c r="M35">
        <v>2</v>
      </c>
      <c r="N35">
        <v>0</v>
      </c>
      <c r="O35">
        <v>8</v>
      </c>
      <c r="P35">
        <v>0</v>
      </c>
      <c r="Q35" s="16">
        <v>3.2984</v>
      </c>
      <c r="R35" s="16">
        <v>4960</v>
      </c>
      <c r="S35" s="17">
        <f t="shared" ref="S35:S66" si="5">R35/Q35/10000</f>
        <v>0.150375939849624</v>
      </c>
      <c r="T35" s="19">
        <v>90952527.254365</v>
      </c>
      <c r="U35" s="16">
        <v>31.79778518017</v>
      </c>
      <c r="V35" s="16">
        <v>38.69662664464</v>
      </c>
      <c r="W35" s="16">
        <v>43.70200416287</v>
      </c>
      <c r="X35" s="16">
        <v>46.82915402099</v>
      </c>
      <c r="Y35" s="23">
        <f t="shared" ref="Y35:Y66" si="6">X35-U35</f>
        <v>15.03136884082</v>
      </c>
    </row>
    <row r="36" spans="1:25">
      <c r="A36" s="16">
        <v>35</v>
      </c>
      <c r="B36" s="20" t="s">
        <v>59</v>
      </c>
      <c r="C36" s="20">
        <v>2</v>
      </c>
      <c r="D36" s="20">
        <v>44</v>
      </c>
      <c r="E36" s="20">
        <f t="shared" si="4"/>
        <v>1.64355136856295</v>
      </c>
      <c r="F36" s="21">
        <f t="shared" si="1"/>
        <v>0.0744999459382665</v>
      </c>
      <c r="G36" s="22">
        <v>2.76173098047</v>
      </c>
      <c r="H36">
        <v>54</v>
      </c>
      <c r="I36">
        <v>0</v>
      </c>
      <c r="J36">
        <v>4</v>
      </c>
      <c r="K36">
        <v>4</v>
      </c>
      <c r="L36">
        <v>7</v>
      </c>
      <c r="M36">
        <v>15</v>
      </c>
      <c r="N36">
        <v>0</v>
      </c>
      <c r="O36">
        <v>39</v>
      </c>
      <c r="P36">
        <v>1</v>
      </c>
      <c r="Q36" s="16">
        <v>7.1423</v>
      </c>
      <c r="R36" s="16">
        <v>19806</v>
      </c>
      <c r="S36" s="17">
        <f t="shared" si="5"/>
        <v>0.277305629839127</v>
      </c>
      <c r="T36" s="19">
        <v>59060445.542417</v>
      </c>
      <c r="U36" s="16">
        <v>93.53424420633</v>
      </c>
      <c r="V36" s="19">
        <v>106.08405492674</v>
      </c>
      <c r="W36" s="16">
        <v>120.5936256499</v>
      </c>
      <c r="X36" s="19">
        <v>129.79049479109</v>
      </c>
      <c r="Y36" s="23">
        <f t="shared" si="6"/>
        <v>36.25625058476</v>
      </c>
    </row>
    <row r="37" spans="1:25">
      <c r="A37" s="16">
        <v>36</v>
      </c>
      <c r="B37" s="20" t="s">
        <v>60</v>
      </c>
      <c r="C37" s="20">
        <v>2</v>
      </c>
      <c r="D37" s="20">
        <v>143</v>
      </c>
      <c r="E37" s="20">
        <f t="shared" si="4"/>
        <v>2.1553664066467</v>
      </c>
      <c r="F37" s="21">
        <f t="shared" si="1"/>
        <v>0.290381073151171</v>
      </c>
      <c r="G37" s="22">
        <v>3.51974278886</v>
      </c>
      <c r="H37">
        <v>45</v>
      </c>
      <c r="I37">
        <v>0</v>
      </c>
      <c r="J37">
        <v>11</v>
      </c>
      <c r="K37">
        <v>0</v>
      </c>
      <c r="L37">
        <v>7</v>
      </c>
      <c r="M37">
        <v>14</v>
      </c>
      <c r="N37">
        <v>0</v>
      </c>
      <c r="O37">
        <v>30</v>
      </c>
      <c r="P37">
        <v>0</v>
      </c>
      <c r="Q37" s="16">
        <v>6.6031</v>
      </c>
      <c r="R37" s="16">
        <v>18861</v>
      </c>
      <c r="S37" s="17">
        <f t="shared" si="5"/>
        <v>0.285638563704926</v>
      </c>
      <c r="T37" s="19">
        <v>49245633.831498</v>
      </c>
      <c r="U37" s="16">
        <v>96.61180874528</v>
      </c>
      <c r="V37" s="19">
        <v>117.64060867071</v>
      </c>
      <c r="W37" s="19">
        <v>139.41291018253</v>
      </c>
      <c r="X37" s="16">
        <v>153.3467076752</v>
      </c>
      <c r="Y37" s="23">
        <f t="shared" si="6"/>
        <v>56.73489892992</v>
      </c>
    </row>
    <row r="38" spans="1:25">
      <c r="A38" s="16">
        <v>37</v>
      </c>
      <c r="B38" s="20" t="s">
        <v>61</v>
      </c>
      <c r="C38" s="20">
        <v>2</v>
      </c>
      <c r="D38" s="20">
        <v>442</v>
      </c>
      <c r="E38" s="20">
        <f t="shared" si="4"/>
        <v>2.64543209490495</v>
      </c>
      <c r="F38" s="21">
        <f t="shared" si="1"/>
        <v>0.507558689300253</v>
      </c>
      <c r="G38" s="22">
        <v>2.56014405315</v>
      </c>
      <c r="H38">
        <v>75</v>
      </c>
      <c r="I38">
        <v>0</v>
      </c>
      <c r="J38">
        <v>6</v>
      </c>
      <c r="K38">
        <v>0</v>
      </c>
      <c r="L38">
        <v>9</v>
      </c>
      <c r="M38">
        <v>11</v>
      </c>
      <c r="N38">
        <v>0</v>
      </c>
      <c r="O38">
        <v>43</v>
      </c>
      <c r="P38">
        <v>0</v>
      </c>
      <c r="Q38" s="16">
        <v>8.7202</v>
      </c>
      <c r="R38" s="16">
        <v>22741</v>
      </c>
      <c r="S38" s="17">
        <f t="shared" si="5"/>
        <v>0.260785303089379</v>
      </c>
      <c r="T38" s="19">
        <v>87083525.377009</v>
      </c>
      <c r="U38" s="16">
        <v>200</v>
      </c>
      <c r="V38" s="16">
        <v>243.20910710183</v>
      </c>
      <c r="W38" s="16">
        <v>283.86981190256</v>
      </c>
      <c r="X38" s="16">
        <v>302.89699851461</v>
      </c>
      <c r="Y38" s="23">
        <f t="shared" si="6"/>
        <v>102.89699851461</v>
      </c>
    </row>
    <row r="39" spans="1:25">
      <c r="A39" s="16">
        <v>38</v>
      </c>
      <c r="B39" s="20" t="s">
        <v>62</v>
      </c>
      <c r="C39" s="20">
        <v>1</v>
      </c>
      <c r="D39" s="20">
        <v>80</v>
      </c>
      <c r="E39" s="20">
        <f t="shared" si="4"/>
        <v>1.90314427040954</v>
      </c>
      <c r="F39" s="21">
        <f t="shared" si="1"/>
        <v>0.307849183506438</v>
      </c>
      <c r="G39" s="22">
        <v>-0.388868672349</v>
      </c>
      <c r="H39">
        <v>46</v>
      </c>
      <c r="I39">
        <v>1</v>
      </c>
      <c r="J39">
        <v>7</v>
      </c>
      <c r="K39">
        <v>1</v>
      </c>
      <c r="L39">
        <v>5</v>
      </c>
      <c r="M39">
        <v>17</v>
      </c>
      <c r="N39">
        <v>3</v>
      </c>
      <c r="O39">
        <v>25</v>
      </c>
      <c r="P39">
        <v>0</v>
      </c>
      <c r="Q39" s="16">
        <v>7.6376</v>
      </c>
      <c r="R39" s="16">
        <v>15027</v>
      </c>
      <c r="S39" s="17">
        <f t="shared" si="5"/>
        <v>0.196750288048602</v>
      </c>
      <c r="T39" s="19">
        <v>25986750.748789</v>
      </c>
      <c r="U39" s="19">
        <v>112.42228857743</v>
      </c>
      <c r="V39" s="19">
        <v>120.26312664851</v>
      </c>
      <c r="W39" s="19">
        <v>124.81469174366</v>
      </c>
      <c r="X39" s="19">
        <v>126.57444350381</v>
      </c>
      <c r="Y39" s="23">
        <f t="shared" si="6"/>
        <v>14.15215492638</v>
      </c>
    </row>
    <row r="40" spans="1:25">
      <c r="A40" s="16">
        <v>39</v>
      </c>
      <c r="B40" s="20" t="s">
        <v>63</v>
      </c>
      <c r="C40" s="20">
        <v>1</v>
      </c>
      <c r="D40" s="20">
        <v>30</v>
      </c>
      <c r="E40" s="20">
        <f t="shared" si="4"/>
        <v>1.47726599542485</v>
      </c>
      <c r="F40" s="21">
        <f t="shared" si="1"/>
        <v>0.08835722321619</v>
      </c>
      <c r="G40" s="22">
        <v>-0.447742656921</v>
      </c>
      <c r="H40">
        <v>39</v>
      </c>
      <c r="I40">
        <v>0</v>
      </c>
      <c r="J40">
        <v>0</v>
      </c>
      <c r="K40">
        <v>1</v>
      </c>
      <c r="L40">
        <v>2</v>
      </c>
      <c r="M40">
        <v>9</v>
      </c>
      <c r="N40">
        <v>0</v>
      </c>
      <c r="O40">
        <v>15</v>
      </c>
      <c r="P40">
        <v>0</v>
      </c>
      <c r="Q40" s="16">
        <v>4.6323</v>
      </c>
      <c r="R40" s="16">
        <v>4849</v>
      </c>
      <c r="S40" s="17">
        <f t="shared" si="5"/>
        <v>0.104678021717074</v>
      </c>
      <c r="T40" s="19">
        <v>33953081.488988</v>
      </c>
      <c r="U40" s="16">
        <v>68.90872631112</v>
      </c>
      <c r="V40" s="16">
        <v>77.94928961077</v>
      </c>
      <c r="W40" s="16">
        <v>86.41894368975</v>
      </c>
      <c r="X40" s="16">
        <v>89.17646818224</v>
      </c>
      <c r="Y40" s="23">
        <f t="shared" si="6"/>
        <v>20.26774187112</v>
      </c>
    </row>
    <row r="41" spans="1:25">
      <c r="A41" s="16">
        <v>40</v>
      </c>
      <c r="B41" s="20" t="s">
        <v>64</v>
      </c>
      <c r="C41" s="20">
        <v>2</v>
      </c>
      <c r="D41" s="20">
        <v>40</v>
      </c>
      <c r="E41" s="20">
        <f t="shared" si="4"/>
        <v>1.602168551379</v>
      </c>
      <c r="F41" s="21">
        <f t="shared" si="1"/>
        <v>0.0820157604578972</v>
      </c>
      <c r="G41" s="22">
        <v>-0.364036252531</v>
      </c>
      <c r="H41">
        <v>66</v>
      </c>
      <c r="I41">
        <v>1</v>
      </c>
      <c r="J41">
        <v>0</v>
      </c>
      <c r="K41">
        <v>0</v>
      </c>
      <c r="L41">
        <v>1</v>
      </c>
      <c r="M41">
        <v>2</v>
      </c>
      <c r="N41">
        <v>0</v>
      </c>
      <c r="O41">
        <v>28</v>
      </c>
      <c r="P41">
        <v>0</v>
      </c>
      <c r="Q41" s="16">
        <v>7.5706</v>
      </c>
      <c r="R41" s="16">
        <v>6620</v>
      </c>
      <c r="S41" s="17">
        <f t="shared" si="5"/>
        <v>0.0874435315562835</v>
      </c>
      <c r="T41" s="19">
        <v>48771113.962339</v>
      </c>
      <c r="U41" s="16">
        <v>79.98776688246</v>
      </c>
      <c r="V41" s="16">
        <v>87.65625888503</v>
      </c>
      <c r="W41" s="16">
        <v>99.7019307279</v>
      </c>
      <c r="X41" s="19">
        <v>104.32111578254</v>
      </c>
      <c r="Y41" s="23">
        <f t="shared" si="6"/>
        <v>24.33334890008</v>
      </c>
    </row>
    <row r="42" spans="1:25">
      <c r="A42" s="16">
        <v>41</v>
      </c>
      <c r="B42" s="20" t="s">
        <v>65</v>
      </c>
      <c r="C42" s="20">
        <v>1</v>
      </c>
      <c r="D42" s="20">
        <v>40</v>
      </c>
      <c r="E42" s="20">
        <f t="shared" si="4"/>
        <v>1.602168551379</v>
      </c>
      <c r="F42" s="21">
        <f t="shared" si="1"/>
        <v>0.119138294685967</v>
      </c>
      <c r="G42" s="22">
        <v>-0.497824120718</v>
      </c>
      <c r="H42">
        <v>43</v>
      </c>
      <c r="I42">
        <v>1</v>
      </c>
      <c r="J42">
        <v>1</v>
      </c>
      <c r="K42">
        <v>0</v>
      </c>
      <c r="L42">
        <v>6</v>
      </c>
      <c r="M42">
        <v>16</v>
      </c>
      <c r="N42">
        <v>1</v>
      </c>
      <c r="O42">
        <v>20</v>
      </c>
      <c r="P42">
        <v>0</v>
      </c>
      <c r="Q42" s="16">
        <v>6.0547</v>
      </c>
      <c r="R42" s="16">
        <v>10930</v>
      </c>
      <c r="S42" s="17">
        <f t="shared" si="5"/>
        <v>0.180520917634235</v>
      </c>
      <c r="T42" s="19">
        <v>33574427.186015</v>
      </c>
      <c r="U42" s="16">
        <v>54.63935891289</v>
      </c>
      <c r="V42" s="16">
        <v>64.86488389756</v>
      </c>
      <c r="W42" s="16">
        <v>74.42971572172</v>
      </c>
      <c r="X42" s="16">
        <v>78.07299079715</v>
      </c>
      <c r="Y42" s="23">
        <f t="shared" si="6"/>
        <v>23.43363188426</v>
      </c>
    </row>
    <row r="43" spans="1:25">
      <c r="A43" s="16">
        <v>42</v>
      </c>
      <c r="B43" s="20" t="s">
        <v>66</v>
      </c>
      <c r="C43" s="20">
        <v>1</v>
      </c>
      <c r="D43" s="20">
        <v>44</v>
      </c>
      <c r="E43" s="20">
        <f t="shared" si="4"/>
        <v>1.64355136856295</v>
      </c>
      <c r="F43" s="21">
        <f t="shared" si="1"/>
        <v>0.131611656664153</v>
      </c>
      <c r="G43" s="22">
        <v>-0.493189208648</v>
      </c>
      <c r="H43">
        <v>58</v>
      </c>
      <c r="I43">
        <v>1</v>
      </c>
      <c r="J43">
        <v>2</v>
      </c>
      <c r="K43">
        <v>1</v>
      </c>
      <c r="L43">
        <v>4</v>
      </c>
      <c r="M43">
        <v>7</v>
      </c>
      <c r="N43">
        <v>1</v>
      </c>
      <c r="O43">
        <v>13</v>
      </c>
      <c r="P43">
        <v>0</v>
      </c>
      <c r="Q43" s="16">
        <v>5.7362</v>
      </c>
      <c r="R43" s="16">
        <v>6677</v>
      </c>
      <c r="S43" s="17">
        <f t="shared" si="5"/>
        <v>0.116401101774694</v>
      </c>
      <c r="T43" s="19">
        <v>33431689.194734</v>
      </c>
      <c r="U43" s="16">
        <v>62.24569644313</v>
      </c>
      <c r="V43" s="16">
        <v>70.88109047872</v>
      </c>
      <c r="W43" s="16">
        <v>82.38176576275</v>
      </c>
      <c r="X43" s="16">
        <v>86.87953908765</v>
      </c>
      <c r="Y43" s="23">
        <f t="shared" si="6"/>
        <v>24.63384264452</v>
      </c>
    </row>
    <row r="44" spans="1:25">
      <c r="A44" s="16">
        <v>43</v>
      </c>
      <c r="B44" s="20" t="s">
        <v>67</v>
      </c>
      <c r="C44" s="20">
        <v>1</v>
      </c>
      <c r="D44" s="20">
        <v>43</v>
      </c>
      <c r="E44" s="20">
        <f t="shared" si="4"/>
        <v>1.63356944255409</v>
      </c>
      <c r="F44" s="21">
        <f t="shared" si="1"/>
        <v>0.111723998051207</v>
      </c>
      <c r="G44" s="22">
        <v>-0.438472944733</v>
      </c>
      <c r="H44">
        <v>38</v>
      </c>
      <c r="I44">
        <v>2</v>
      </c>
      <c r="J44">
        <v>2</v>
      </c>
      <c r="K44">
        <v>0</v>
      </c>
      <c r="L44">
        <v>1</v>
      </c>
      <c r="M44">
        <v>6</v>
      </c>
      <c r="N44">
        <v>2</v>
      </c>
      <c r="O44">
        <v>5</v>
      </c>
      <c r="P44">
        <v>0</v>
      </c>
      <c r="Q44" s="16">
        <v>5.4591</v>
      </c>
      <c r="R44" s="16">
        <v>3631</v>
      </c>
      <c r="S44" s="17">
        <f t="shared" si="5"/>
        <v>0.0665127951493836</v>
      </c>
      <c r="T44" s="19">
        <v>38487702.508007</v>
      </c>
      <c r="U44" s="16">
        <v>65.31322421234</v>
      </c>
      <c r="V44" s="16">
        <v>75.74347861207</v>
      </c>
      <c r="W44" s="16">
        <v>86.16077836482</v>
      </c>
      <c r="X44" s="16">
        <v>88.87794756123</v>
      </c>
      <c r="Y44" s="23">
        <f t="shared" si="6"/>
        <v>23.56472334889</v>
      </c>
    </row>
    <row r="45" spans="1:25">
      <c r="A45" s="16">
        <v>44</v>
      </c>
      <c r="B45" s="20" t="s">
        <v>68</v>
      </c>
      <c r="C45" s="20">
        <v>1</v>
      </c>
      <c r="D45" s="20">
        <v>27</v>
      </c>
      <c r="E45" s="20">
        <f t="shared" si="4"/>
        <v>1.43152458418745</v>
      </c>
      <c r="F45" s="21">
        <f t="shared" si="1"/>
        <v>0.232078624147731</v>
      </c>
      <c r="G45" s="22">
        <v>-0.403590836737</v>
      </c>
      <c r="H45">
        <v>10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 s="16">
        <v>2.7144</v>
      </c>
      <c r="R45" s="16">
        <v>1363</v>
      </c>
      <c r="S45" s="17">
        <f t="shared" si="5"/>
        <v>0.0502136752136752</v>
      </c>
      <c r="T45" s="19">
        <v>11633988.308554</v>
      </c>
      <c r="U45" s="16">
        <v>24.01278616367</v>
      </c>
      <c r="V45" s="16">
        <v>26.75778616367</v>
      </c>
      <c r="W45" s="16">
        <v>29.13077505994</v>
      </c>
      <c r="X45" s="16">
        <v>29.67439312633</v>
      </c>
      <c r="Y45" s="23">
        <f t="shared" si="6"/>
        <v>5.66160696266</v>
      </c>
    </row>
    <row r="46" spans="1:25">
      <c r="A46" s="16">
        <v>45</v>
      </c>
      <c r="B46" s="20" t="s">
        <v>69</v>
      </c>
      <c r="C46" s="20">
        <v>1</v>
      </c>
      <c r="D46" s="20">
        <v>33</v>
      </c>
      <c r="E46" s="20">
        <f t="shared" si="4"/>
        <v>1.51864552433031</v>
      </c>
      <c r="F46" s="21">
        <f t="shared" si="1"/>
        <v>0.055822275759938</v>
      </c>
      <c r="G46" s="22">
        <v>-0.48013619916</v>
      </c>
      <c r="H46">
        <v>84</v>
      </c>
      <c r="I46">
        <v>0</v>
      </c>
      <c r="J46">
        <v>6</v>
      </c>
      <c r="K46">
        <v>1</v>
      </c>
      <c r="L46">
        <v>1</v>
      </c>
      <c r="M46">
        <v>4</v>
      </c>
      <c r="N46">
        <v>0</v>
      </c>
      <c r="O46">
        <v>23</v>
      </c>
      <c r="P46">
        <v>0</v>
      </c>
      <c r="Q46" s="16">
        <v>5.3811</v>
      </c>
      <c r="R46" s="16">
        <v>6143</v>
      </c>
      <c r="S46" s="17">
        <f t="shared" si="5"/>
        <v>0.114158815112152</v>
      </c>
      <c r="T46" s="19">
        <v>59116185.341342</v>
      </c>
      <c r="U46" s="16">
        <v>88.7411874536</v>
      </c>
      <c r="V46" s="16">
        <v>99.21688271793</v>
      </c>
      <c r="W46" s="19">
        <v>111.13448882406</v>
      </c>
      <c r="X46" s="19">
        <v>117.37104397266</v>
      </c>
      <c r="Y46" s="23">
        <f t="shared" si="6"/>
        <v>28.62985651906</v>
      </c>
    </row>
    <row r="47" spans="1:25">
      <c r="A47" s="16">
        <v>46</v>
      </c>
      <c r="B47" s="20" t="s">
        <v>70</v>
      </c>
      <c r="C47" s="20">
        <v>1</v>
      </c>
      <c r="D47" s="20">
        <v>65</v>
      </c>
      <c r="E47" s="20">
        <f t="shared" si="4"/>
        <v>1.81298016603948</v>
      </c>
      <c r="F47" s="21">
        <f t="shared" si="1"/>
        <v>0.416516791207064</v>
      </c>
      <c r="G47" s="22">
        <v>3.08276639539</v>
      </c>
      <c r="H47">
        <v>20</v>
      </c>
      <c r="I47">
        <v>0</v>
      </c>
      <c r="J47">
        <v>4</v>
      </c>
      <c r="K47">
        <v>0</v>
      </c>
      <c r="L47">
        <v>2</v>
      </c>
      <c r="M47">
        <v>4</v>
      </c>
      <c r="N47">
        <v>1</v>
      </c>
      <c r="O47">
        <v>9</v>
      </c>
      <c r="P47">
        <v>0</v>
      </c>
      <c r="Q47" s="16">
        <v>2.4573</v>
      </c>
      <c r="R47" s="16">
        <v>10731</v>
      </c>
      <c r="S47" s="17">
        <f t="shared" si="5"/>
        <v>0.43669881577341</v>
      </c>
      <c r="T47" s="19">
        <v>15605613.356338</v>
      </c>
      <c r="U47" s="16">
        <v>35.59850395301</v>
      </c>
      <c r="V47" s="16">
        <v>41.83697401103</v>
      </c>
      <c r="W47" s="16">
        <v>48.88249591112</v>
      </c>
      <c r="X47" s="16">
        <v>54.50644775864</v>
      </c>
      <c r="Y47" s="23">
        <f t="shared" si="6"/>
        <v>18.90794380563</v>
      </c>
    </row>
    <row r="48" spans="1:25">
      <c r="A48" s="16">
        <v>47</v>
      </c>
      <c r="B48" s="20" t="s">
        <v>71</v>
      </c>
      <c r="C48" s="20">
        <v>1</v>
      </c>
      <c r="D48" s="20">
        <v>15</v>
      </c>
      <c r="E48" s="20">
        <f t="shared" si="4"/>
        <v>1.17638069224327</v>
      </c>
      <c r="F48" s="21">
        <f t="shared" si="1"/>
        <v>0.77932118946354</v>
      </c>
      <c r="G48" s="22">
        <v>-0.392778617127</v>
      </c>
      <c r="H48">
        <v>6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4</v>
      </c>
      <c r="P48">
        <v>0</v>
      </c>
      <c r="Q48" s="16">
        <v>0.9051</v>
      </c>
      <c r="R48" s="16">
        <v>8577</v>
      </c>
      <c r="S48" s="17">
        <f t="shared" si="5"/>
        <v>0.947630096121975</v>
      </c>
      <c r="T48" s="16">
        <v>1924751.976823</v>
      </c>
      <c r="U48" s="16">
        <v>7.07174908027</v>
      </c>
      <c r="V48" s="16">
        <v>11.29103358166</v>
      </c>
      <c r="W48" s="16">
        <v>12.58672960521</v>
      </c>
      <c r="X48" s="16">
        <v>13.02703373707</v>
      </c>
      <c r="Y48" s="23">
        <f t="shared" si="6"/>
        <v>5.9552846568</v>
      </c>
    </row>
    <row r="49" spans="1:25">
      <c r="A49" s="16">
        <v>48</v>
      </c>
      <c r="B49" s="20" t="s">
        <v>72</v>
      </c>
      <c r="C49" s="20">
        <v>3</v>
      </c>
      <c r="D49" s="20">
        <v>123</v>
      </c>
      <c r="E49" s="20">
        <f t="shared" si="4"/>
        <v>2.08994041849863</v>
      </c>
      <c r="F49" s="21">
        <f t="shared" si="1"/>
        <v>0.861630375442792</v>
      </c>
      <c r="G49" s="22">
        <v>-0.438758005091</v>
      </c>
      <c r="H49">
        <v>60</v>
      </c>
      <c r="I49">
        <v>0</v>
      </c>
      <c r="J49">
        <v>9</v>
      </c>
      <c r="K49">
        <v>1</v>
      </c>
      <c r="L49">
        <v>2</v>
      </c>
      <c r="M49">
        <v>22</v>
      </c>
      <c r="N49">
        <v>0</v>
      </c>
      <c r="O49">
        <v>21</v>
      </c>
      <c r="P49">
        <v>0</v>
      </c>
      <c r="Q49" s="16">
        <v>15.2782</v>
      </c>
      <c r="R49" s="16">
        <v>101424</v>
      </c>
      <c r="S49" s="17">
        <f t="shared" si="5"/>
        <v>0.663847835478001</v>
      </c>
      <c r="T49" s="19">
        <v>14275262.746719</v>
      </c>
      <c r="U49" s="16">
        <v>42.33060132244</v>
      </c>
      <c r="V49" s="16">
        <v>46.01093923346</v>
      </c>
      <c r="W49" s="16">
        <v>49.20694707</v>
      </c>
      <c r="X49" s="16">
        <v>50.81795140614</v>
      </c>
      <c r="Y49" s="23">
        <f t="shared" si="6"/>
        <v>8.48735008369999</v>
      </c>
    </row>
    <row r="50" spans="1:25">
      <c r="A50" s="16">
        <v>49</v>
      </c>
      <c r="B50" s="20" t="s">
        <v>73</v>
      </c>
      <c r="C50" s="20">
        <v>1</v>
      </c>
      <c r="D50" s="20">
        <v>12</v>
      </c>
      <c r="E50" s="20">
        <f t="shared" si="4"/>
        <v>1.07954300740291</v>
      </c>
      <c r="F50" s="21">
        <f t="shared" si="1"/>
        <v>0.00973359948032969</v>
      </c>
      <c r="G50" s="22">
        <v>-0.455108523886</v>
      </c>
      <c r="H50">
        <v>10</v>
      </c>
      <c r="I50">
        <v>1</v>
      </c>
      <c r="J50">
        <v>3</v>
      </c>
      <c r="K50">
        <v>1</v>
      </c>
      <c r="L50">
        <v>0</v>
      </c>
      <c r="M50">
        <v>3</v>
      </c>
      <c r="N50">
        <v>0</v>
      </c>
      <c r="O50">
        <v>3</v>
      </c>
      <c r="P50">
        <v>0</v>
      </c>
      <c r="Q50" s="16">
        <v>4.186</v>
      </c>
      <c r="R50" s="16">
        <v>4727</v>
      </c>
      <c r="S50" s="17">
        <f t="shared" si="5"/>
        <v>0.11292403248925</v>
      </c>
      <c r="T50" s="19">
        <v>123284300.163063</v>
      </c>
      <c r="U50" s="16">
        <v>16.36738855476</v>
      </c>
      <c r="V50" s="16">
        <v>17.14138855476</v>
      </c>
      <c r="W50" s="16">
        <v>18.25852506429</v>
      </c>
      <c r="X50" s="16">
        <v>18.72652506429</v>
      </c>
      <c r="Y50" s="23">
        <f t="shared" si="6"/>
        <v>2.35913650953</v>
      </c>
    </row>
    <row r="51" spans="1:25">
      <c r="A51" s="16">
        <v>50</v>
      </c>
      <c r="B51" s="20" t="s">
        <v>74</v>
      </c>
      <c r="C51" s="20">
        <v>1</v>
      </c>
      <c r="D51" s="20">
        <v>11</v>
      </c>
      <c r="E51" s="20">
        <f t="shared" si="4"/>
        <v>1.04178731897175</v>
      </c>
      <c r="F51" s="21">
        <f t="shared" si="1"/>
        <v>0.0107806271223286</v>
      </c>
      <c r="G51" s="22">
        <v>-0.447886317219</v>
      </c>
      <c r="H51">
        <v>18</v>
      </c>
      <c r="I51">
        <v>1</v>
      </c>
      <c r="J51">
        <v>1</v>
      </c>
      <c r="K51">
        <v>0</v>
      </c>
      <c r="L51">
        <v>5</v>
      </c>
      <c r="M51">
        <v>10</v>
      </c>
      <c r="N51">
        <v>2</v>
      </c>
      <c r="O51">
        <v>7</v>
      </c>
      <c r="P51">
        <v>0</v>
      </c>
      <c r="Q51" s="16">
        <v>7.6205</v>
      </c>
      <c r="R51" s="16">
        <v>11424</v>
      </c>
      <c r="S51" s="17">
        <f t="shared" si="5"/>
        <v>0.149911423134965</v>
      </c>
      <c r="T51" s="19">
        <v>102034880.486841</v>
      </c>
      <c r="U51" s="16">
        <v>46.20825448038</v>
      </c>
      <c r="V51" s="16">
        <v>59.80725448038</v>
      </c>
      <c r="W51" s="16">
        <v>67.34025448038</v>
      </c>
      <c r="X51" s="16">
        <v>71.43525448038</v>
      </c>
      <c r="Y51" s="23">
        <f t="shared" si="6"/>
        <v>25.227</v>
      </c>
    </row>
    <row r="52" spans="1:25">
      <c r="A52" s="16">
        <v>51</v>
      </c>
      <c r="B52" s="20" t="s">
        <v>75</v>
      </c>
      <c r="C52" s="20">
        <v>1</v>
      </c>
      <c r="D52" s="20">
        <v>36</v>
      </c>
      <c r="E52" s="20">
        <f t="shared" si="4"/>
        <v>1.55642312137129</v>
      </c>
      <c r="F52" s="21">
        <f t="shared" si="1"/>
        <v>0.0343822979076609</v>
      </c>
      <c r="G52" s="22">
        <v>-0.464921210303</v>
      </c>
      <c r="H52">
        <v>120</v>
      </c>
      <c r="I52">
        <v>2</v>
      </c>
      <c r="J52">
        <v>7</v>
      </c>
      <c r="K52">
        <v>0</v>
      </c>
      <c r="L52">
        <v>6</v>
      </c>
      <c r="M52">
        <v>6</v>
      </c>
      <c r="N52">
        <v>0</v>
      </c>
      <c r="O52">
        <v>14</v>
      </c>
      <c r="P52">
        <v>0</v>
      </c>
      <c r="Q52" s="16">
        <v>6.2059</v>
      </c>
      <c r="R52" s="16">
        <v>8112</v>
      </c>
      <c r="S52" s="17">
        <f t="shared" si="5"/>
        <v>0.130714320243639</v>
      </c>
      <c r="T52" s="19">
        <v>104705043.556669</v>
      </c>
      <c r="U52" s="16">
        <v>51.78330165426</v>
      </c>
      <c r="V52" s="16">
        <v>60.87119967926</v>
      </c>
      <c r="W52" s="16">
        <v>67.94741609397</v>
      </c>
      <c r="X52" s="16">
        <v>71.71850990165</v>
      </c>
      <c r="Y52" s="23">
        <f t="shared" si="6"/>
        <v>19.93520824739</v>
      </c>
    </row>
    <row r="53" spans="1:25">
      <c r="A53" s="16">
        <v>52</v>
      </c>
      <c r="B53" s="20" t="s">
        <v>76</v>
      </c>
      <c r="C53" s="20">
        <v>1</v>
      </c>
      <c r="D53" s="20">
        <v>0</v>
      </c>
      <c r="E53" s="20">
        <f t="shared" si="4"/>
        <v>-2</v>
      </c>
      <c r="F53" s="21">
        <f t="shared" si="1"/>
        <v>0</v>
      </c>
      <c r="G53" s="22">
        <v>-0.456680272903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 s="16">
        <v>2.8884</v>
      </c>
      <c r="R53" s="16">
        <v>1526</v>
      </c>
      <c r="S53" s="17">
        <f t="shared" si="5"/>
        <v>0.0528320177260767</v>
      </c>
      <c r="T53" s="19">
        <v>119456182.182418</v>
      </c>
      <c r="U53" s="16">
        <v>11.03888575839</v>
      </c>
      <c r="V53" s="16">
        <v>11.74988575839</v>
      </c>
      <c r="W53" s="16">
        <v>12.04688575839</v>
      </c>
      <c r="X53" s="16">
        <v>12.35288575839</v>
      </c>
      <c r="Y53" s="23">
        <f t="shared" si="6"/>
        <v>1.314</v>
      </c>
    </row>
    <row r="54" spans="1:25">
      <c r="A54" s="16">
        <v>53</v>
      </c>
      <c r="B54" s="20" t="s">
        <v>77</v>
      </c>
      <c r="C54" s="20">
        <v>2</v>
      </c>
      <c r="D54" s="20">
        <v>296</v>
      </c>
      <c r="E54" s="20">
        <f t="shared" si="4"/>
        <v>2.47130638292198</v>
      </c>
      <c r="F54" s="21">
        <f t="shared" si="1"/>
        <v>0.278499642576</v>
      </c>
      <c r="G54" s="22">
        <v>3.40922815265</v>
      </c>
      <c r="H54">
        <v>108</v>
      </c>
      <c r="I54">
        <v>3</v>
      </c>
      <c r="J54">
        <v>23</v>
      </c>
      <c r="K54">
        <v>2</v>
      </c>
      <c r="L54">
        <v>14</v>
      </c>
      <c r="M54">
        <v>37</v>
      </c>
      <c r="N54">
        <v>2</v>
      </c>
      <c r="O54">
        <v>77</v>
      </c>
      <c r="P54">
        <v>0</v>
      </c>
      <c r="Q54" s="16">
        <v>19.1408</v>
      </c>
      <c r="R54" s="16">
        <v>131870</v>
      </c>
      <c r="S54" s="17">
        <f t="shared" si="5"/>
        <v>0.688947170442197</v>
      </c>
      <c r="T54" s="19">
        <v>106283798.881079</v>
      </c>
      <c r="U54" s="16">
        <v>68.94693277729</v>
      </c>
      <c r="V54" s="16">
        <v>90.07234546547</v>
      </c>
      <c r="W54" s="19">
        <v>108.62550121401</v>
      </c>
      <c r="X54" s="19">
        <v>115.92926712488</v>
      </c>
      <c r="Y54" s="23">
        <f t="shared" si="6"/>
        <v>46.98233434759</v>
      </c>
    </row>
    <row r="55" spans="1:25">
      <c r="A55" s="16">
        <v>54</v>
      </c>
      <c r="B55" s="20" t="s">
        <v>78</v>
      </c>
      <c r="C55" s="20">
        <v>1</v>
      </c>
      <c r="D55" s="20">
        <v>13</v>
      </c>
      <c r="E55" s="20">
        <f t="shared" si="4"/>
        <v>1.11427729656159</v>
      </c>
      <c r="F55" s="21">
        <f t="shared" si="1"/>
        <v>0.0128649519644928</v>
      </c>
      <c r="G55" s="22">
        <v>-0.485052566362</v>
      </c>
      <c r="H55">
        <v>5</v>
      </c>
      <c r="I55">
        <v>0</v>
      </c>
      <c r="J55">
        <v>3</v>
      </c>
      <c r="K55">
        <v>1</v>
      </c>
      <c r="L55">
        <v>0</v>
      </c>
      <c r="M55">
        <v>2</v>
      </c>
      <c r="N55">
        <v>1</v>
      </c>
      <c r="O55">
        <v>2</v>
      </c>
      <c r="P55">
        <v>0</v>
      </c>
      <c r="Q55" s="16">
        <v>3.1024</v>
      </c>
      <c r="R55" s="16">
        <v>2312</v>
      </c>
      <c r="S55" s="17">
        <f t="shared" si="5"/>
        <v>0.0745229499742135</v>
      </c>
      <c r="T55" s="19">
        <v>101049736.026065</v>
      </c>
      <c r="U55" s="16">
        <v>22.32727908385</v>
      </c>
      <c r="V55" s="16">
        <v>23.47027908385</v>
      </c>
      <c r="W55" s="16">
        <v>25.72814257432</v>
      </c>
      <c r="X55" s="16">
        <v>26.61914257432</v>
      </c>
      <c r="Y55" s="23">
        <f t="shared" si="6"/>
        <v>4.29186349047</v>
      </c>
    </row>
    <row r="56" spans="1:25">
      <c r="A56" s="16">
        <v>55</v>
      </c>
      <c r="B56" s="20" t="s">
        <v>79</v>
      </c>
      <c r="C56" s="20">
        <v>1</v>
      </c>
      <c r="D56" s="20">
        <v>25</v>
      </c>
      <c r="E56" s="20">
        <f t="shared" si="4"/>
        <v>1.3981136917305</v>
      </c>
      <c r="F56" s="21">
        <f t="shared" si="1"/>
        <v>0.0161875371763382</v>
      </c>
      <c r="G56" s="22">
        <v>-0.361241187096</v>
      </c>
      <c r="H56">
        <v>22</v>
      </c>
      <c r="I56">
        <v>0</v>
      </c>
      <c r="J56">
        <v>3</v>
      </c>
      <c r="K56">
        <v>1</v>
      </c>
      <c r="L56">
        <v>3</v>
      </c>
      <c r="M56">
        <v>3</v>
      </c>
      <c r="N56">
        <v>0</v>
      </c>
      <c r="O56">
        <v>12</v>
      </c>
      <c r="P56">
        <v>0</v>
      </c>
      <c r="Q56" s="16">
        <v>4.8388</v>
      </c>
      <c r="R56" s="16">
        <v>5363</v>
      </c>
      <c r="S56" s="17">
        <f t="shared" si="5"/>
        <v>0.11083326444573</v>
      </c>
      <c r="T56" s="19">
        <v>154439799.752511</v>
      </c>
      <c r="U56" s="16">
        <v>31.01924857124</v>
      </c>
      <c r="V56" s="16">
        <v>38.81535054623</v>
      </c>
      <c r="W56" s="16">
        <v>43.25013413153</v>
      </c>
      <c r="X56" s="16">
        <v>44.31204032384</v>
      </c>
      <c r="Y56" s="23">
        <f t="shared" si="6"/>
        <v>13.2927917526</v>
      </c>
    </row>
    <row r="57" spans="1:25">
      <c r="A57" s="16">
        <v>56</v>
      </c>
      <c r="B57" s="20" t="s">
        <v>80</v>
      </c>
      <c r="C57" s="20">
        <v>1</v>
      </c>
      <c r="D57" s="20">
        <v>14</v>
      </c>
      <c r="E57" s="20">
        <f t="shared" si="4"/>
        <v>1.14643813528577</v>
      </c>
      <c r="F57" s="21">
        <f t="shared" si="1"/>
        <v>0.00901465299791287</v>
      </c>
      <c r="G57" s="22">
        <v>-0.333473539345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5</v>
      </c>
      <c r="P57">
        <v>0</v>
      </c>
      <c r="Q57" s="16">
        <v>3.4877</v>
      </c>
      <c r="R57" s="16">
        <v>2464</v>
      </c>
      <c r="S57" s="17">
        <f t="shared" si="5"/>
        <v>0.0706482782349399</v>
      </c>
      <c r="T57" s="19">
        <v>155302705.53111</v>
      </c>
      <c r="U57" s="16">
        <v>9.71310193083</v>
      </c>
      <c r="V57" s="16">
        <v>11.16210193083</v>
      </c>
      <c r="W57" s="16">
        <v>11.96310193083</v>
      </c>
      <c r="X57" s="16">
        <v>12.54810193083</v>
      </c>
      <c r="Y57" s="23">
        <f t="shared" si="6"/>
        <v>2.835</v>
      </c>
    </row>
    <row r="58" spans="1:25">
      <c r="A58" s="16">
        <v>57</v>
      </c>
      <c r="B58" s="20" t="s">
        <v>81</v>
      </c>
      <c r="C58" s="20">
        <v>1</v>
      </c>
      <c r="D58" s="20">
        <v>0</v>
      </c>
      <c r="E58" s="20">
        <f t="shared" si="4"/>
        <v>-2</v>
      </c>
      <c r="F58" s="21">
        <f t="shared" si="1"/>
        <v>0</v>
      </c>
      <c r="G58" s="22">
        <v>-0.33849455852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16">
        <v>0.9051</v>
      </c>
      <c r="R58" s="16">
        <v>526</v>
      </c>
      <c r="S58" s="17">
        <f t="shared" si="5"/>
        <v>0.0581151254005082</v>
      </c>
      <c r="T58" s="16">
        <v>91938946.57483</v>
      </c>
      <c r="U58" s="16">
        <v>0.45</v>
      </c>
      <c r="V58" s="16">
        <v>0.585</v>
      </c>
      <c r="W58" s="16">
        <v>0.945</v>
      </c>
      <c r="X58" s="16">
        <v>1.089</v>
      </c>
      <c r="Y58" s="23">
        <f t="shared" si="6"/>
        <v>0.639</v>
      </c>
    </row>
    <row r="59" spans="1:25">
      <c r="A59" s="16">
        <v>58</v>
      </c>
      <c r="B59" s="20" t="s">
        <v>82</v>
      </c>
      <c r="C59" s="20">
        <v>1</v>
      </c>
      <c r="D59" s="20">
        <v>11</v>
      </c>
      <c r="E59" s="20">
        <f t="shared" si="4"/>
        <v>1.04178731897175</v>
      </c>
      <c r="F59" s="21">
        <f t="shared" si="1"/>
        <v>0.0052426458875181</v>
      </c>
      <c r="G59" s="22">
        <v>-0.335299364499</v>
      </c>
      <c r="H59">
        <v>0</v>
      </c>
      <c r="I59">
        <v>0</v>
      </c>
      <c r="J59">
        <v>2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 s="16">
        <v>4.5293</v>
      </c>
      <c r="R59" s="16">
        <v>3121</v>
      </c>
      <c r="S59" s="17">
        <f t="shared" si="5"/>
        <v>0.0689068951052039</v>
      </c>
      <c r="T59" s="19">
        <v>209817718.68646</v>
      </c>
      <c r="U59" s="16">
        <v>8.81649171339</v>
      </c>
      <c r="V59" s="16">
        <v>11.42649171339</v>
      </c>
      <c r="W59" s="16">
        <v>12.86649171339</v>
      </c>
      <c r="X59" s="16">
        <v>13.13649171339</v>
      </c>
      <c r="Y59" s="23">
        <f t="shared" si="6"/>
        <v>4.32</v>
      </c>
    </row>
    <row r="60" spans="1:25">
      <c r="A60" s="16">
        <v>59</v>
      </c>
      <c r="B60" s="20" t="s">
        <v>83</v>
      </c>
      <c r="C60" s="20">
        <v>2</v>
      </c>
      <c r="D60" s="20">
        <v>10</v>
      </c>
      <c r="E60" s="20">
        <f t="shared" si="4"/>
        <v>1.00043407747932</v>
      </c>
      <c r="F60" s="21">
        <f t="shared" si="1"/>
        <v>0.0177530492900749</v>
      </c>
      <c r="G60" s="22">
        <v>-0.491236339779</v>
      </c>
      <c r="H60">
        <v>23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</v>
      </c>
      <c r="P60">
        <v>0</v>
      </c>
      <c r="Q60" s="16">
        <v>1.2689</v>
      </c>
      <c r="R60" s="16">
        <v>1628</v>
      </c>
      <c r="S60" s="17">
        <f t="shared" si="5"/>
        <v>0.128300102450942</v>
      </c>
      <c r="T60" s="19">
        <v>56328351.465743</v>
      </c>
      <c r="U60" s="16">
        <v>7.39357279665</v>
      </c>
      <c r="V60" s="16">
        <v>7.83457279665</v>
      </c>
      <c r="W60" s="16">
        <v>8.42857279665</v>
      </c>
      <c r="X60" s="16">
        <v>8.64457279665</v>
      </c>
      <c r="Y60" s="23">
        <f t="shared" si="6"/>
        <v>1.251</v>
      </c>
    </row>
    <row r="61" spans="1:25">
      <c r="A61" s="16">
        <v>60</v>
      </c>
      <c r="B61" s="20" t="s">
        <v>84</v>
      </c>
      <c r="C61" s="20">
        <v>1</v>
      </c>
      <c r="D61" s="20">
        <v>7</v>
      </c>
      <c r="E61" s="20">
        <f t="shared" si="4"/>
        <v>0.845718017966659</v>
      </c>
      <c r="F61" s="21">
        <f t="shared" si="1"/>
        <v>0.00469161002321172</v>
      </c>
      <c r="G61" s="22">
        <v>-0.38780612596</v>
      </c>
      <c r="H61">
        <v>0</v>
      </c>
      <c r="I61">
        <v>2</v>
      </c>
      <c r="J61">
        <v>0</v>
      </c>
      <c r="K61">
        <v>0</v>
      </c>
      <c r="L61">
        <v>1</v>
      </c>
      <c r="M61">
        <v>1</v>
      </c>
      <c r="N61">
        <v>0</v>
      </c>
      <c r="O61">
        <v>5</v>
      </c>
      <c r="P61">
        <v>0</v>
      </c>
      <c r="Q61" s="16">
        <v>3.686</v>
      </c>
      <c r="R61" s="16">
        <v>2052</v>
      </c>
      <c r="S61" s="17">
        <f t="shared" si="5"/>
        <v>0.0556701030927835</v>
      </c>
      <c r="T61" s="19">
        <v>149202511.832133</v>
      </c>
      <c r="U61" s="16">
        <v>3.21047272166</v>
      </c>
      <c r="V61" s="16">
        <v>3.69647272166</v>
      </c>
      <c r="W61" s="16">
        <v>3.96647272166</v>
      </c>
      <c r="X61" s="16">
        <v>4.07447272166</v>
      </c>
      <c r="Y61" s="23">
        <f t="shared" si="6"/>
        <v>0.864</v>
      </c>
    </row>
    <row r="62" spans="1:25">
      <c r="A62" s="16">
        <v>61</v>
      </c>
      <c r="B62" s="20" t="s">
        <v>85</v>
      </c>
      <c r="C62" s="20">
        <v>2</v>
      </c>
      <c r="D62" s="20">
        <v>73</v>
      </c>
      <c r="E62" s="20">
        <f t="shared" si="4"/>
        <v>1.86338234844079</v>
      </c>
      <c r="F62" s="21">
        <f t="shared" si="1"/>
        <v>0.149204106697259</v>
      </c>
      <c r="G62" s="22">
        <v>-0.399079130335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6">
        <v>4.1687</v>
      </c>
      <c r="R62" s="16">
        <v>21602</v>
      </c>
      <c r="S62" s="17">
        <f t="shared" si="5"/>
        <v>0.518195120781059</v>
      </c>
      <c r="T62" s="19">
        <v>48926267.256249</v>
      </c>
      <c r="U62" s="16">
        <v>11.81980535182</v>
      </c>
      <c r="V62" s="16">
        <v>19.36927502231</v>
      </c>
      <c r="W62" s="16">
        <v>26.03462339139</v>
      </c>
      <c r="X62" s="16">
        <v>31.44730739139</v>
      </c>
      <c r="Y62" s="23">
        <f t="shared" si="6"/>
        <v>19.62750203957</v>
      </c>
    </row>
    <row r="63" spans="1:25">
      <c r="A63" s="16">
        <v>62</v>
      </c>
      <c r="B63" s="20" t="s">
        <v>86</v>
      </c>
      <c r="C63" s="20">
        <v>1</v>
      </c>
      <c r="D63" s="20">
        <v>6</v>
      </c>
      <c r="E63" s="20">
        <f t="shared" si="4"/>
        <v>0.77887447200274</v>
      </c>
      <c r="F63" s="21">
        <f t="shared" si="1"/>
        <v>0.00314989957839786</v>
      </c>
      <c r="G63" s="22">
        <v>-0.432402383858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6">
        <v>4.2144</v>
      </c>
      <c r="R63" s="16">
        <v>4187</v>
      </c>
      <c r="S63" s="17">
        <f t="shared" si="5"/>
        <v>0.0993498481397115</v>
      </c>
      <c r="T63" s="19">
        <v>190482263.026677</v>
      </c>
      <c r="U63" s="16">
        <v>4.22365317</v>
      </c>
      <c r="V63" s="16">
        <v>6.23065317</v>
      </c>
      <c r="W63" s="16">
        <v>9.16465317</v>
      </c>
      <c r="X63" s="16">
        <v>11.18065317</v>
      </c>
      <c r="Y63" s="23">
        <f t="shared" si="6"/>
        <v>6.957</v>
      </c>
    </row>
    <row r="64" spans="1:25">
      <c r="A64" s="16">
        <v>63</v>
      </c>
      <c r="B64" s="20" t="s">
        <v>87</v>
      </c>
      <c r="C64" s="20">
        <v>1</v>
      </c>
      <c r="D64" s="20">
        <v>1</v>
      </c>
      <c r="E64" s="20">
        <f t="shared" si="4"/>
        <v>0.00432137378264258</v>
      </c>
      <c r="F64" s="21">
        <f t="shared" si="1"/>
        <v>0.00235494035186412</v>
      </c>
      <c r="G64" s="22">
        <v>-0.470836707813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6">
        <v>0.5356</v>
      </c>
      <c r="R64" s="16">
        <v>311</v>
      </c>
      <c r="S64" s="17">
        <f t="shared" si="5"/>
        <v>0.0580657206870799</v>
      </c>
      <c r="T64" s="19">
        <v>42463920.549343</v>
      </c>
      <c r="U64" s="16">
        <v>1.69400396544</v>
      </c>
      <c r="V64" s="16">
        <v>1.81100396544</v>
      </c>
      <c r="W64" s="16">
        <v>1.84700396544</v>
      </c>
      <c r="X64" s="16">
        <v>1.94600396544</v>
      </c>
      <c r="Y64" s="23">
        <f t="shared" si="6"/>
        <v>0.252</v>
      </c>
    </row>
    <row r="65" spans="1:25">
      <c r="A65" s="16">
        <v>64</v>
      </c>
      <c r="B65" s="20" t="s">
        <v>88</v>
      </c>
      <c r="C65" s="20">
        <v>1</v>
      </c>
      <c r="D65" s="20">
        <v>2</v>
      </c>
      <c r="E65" s="20">
        <f t="shared" si="4"/>
        <v>0.303196057420489</v>
      </c>
      <c r="F65" s="21">
        <f t="shared" si="1"/>
        <v>0.00418634344428357</v>
      </c>
      <c r="G65" s="22">
        <v>-0.438449384363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16">
        <v>1.1255</v>
      </c>
      <c r="R65" s="16">
        <v>797</v>
      </c>
      <c r="S65" s="17">
        <f t="shared" si="5"/>
        <v>0.0708129720124389</v>
      </c>
      <c r="T65" s="19">
        <v>47774388.953467</v>
      </c>
      <c r="U65" s="16">
        <v>2.41559480089</v>
      </c>
      <c r="V65" s="16">
        <v>3.21398686796</v>
      </c>
      <c r="W65" s="16">
        <v>3.48321704893</v>
      </c>
      <c r="X65" s="16">
        <v>3.51921704893</v>
      </c>
      <c r="Y65" s="23">
        <f t="shared" si="6"/>
        <v>1.10362224804</v>
      </c>
    </row>
    <row r="66" spans="1:25">
      <c r="A66" s="16">
        <v>65</v>
      </c>
      <c r="B66" s="20" t="s">
        <v>89</v>
      </c>
      <c r="C66" s="20">
        <v>1</v>
      </c>
      <c r="D66" s="20">
        <v>15</v>
      </c>
      <c r="E66" s="20">
        <f t="shared" si="4"/>
        <v>1.17638069224327</v>
      </c>
      <c r="F66" s="21">
        <f t="shared" ref="F66:F129" si="7">D66/T66*100000</f>
        <v>0.0128012273456979</v>
      </c>
      <c r="G66" s="22">
        <v>-0.383048226462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  <c r="P66">
        <v>0</v>
      </c>
      <c r="Q66" s="16">
        <v>2.4885</v>
      </c>
      <c r="R66" s="16">
        <v>3654</v>
      </c>
      <c r="S66" s="17">
        <f t="shared" si="5"/>
        <v>0.146835443037975</v>
      </c>
      <c r="T66" s="19">
        <v>117176264.391875</v>
      </c>
      <c r="U66" s="16">
        <v>5.20751746267</v>
      </c>
      <c r="V66" s="16">
        <v>7.06151746267</v>
      </c>
      <c r="W66" s="16">
        <v>10.75151746267</v>
      </c>
      <c r="X66" s="16">
        <v>12.19151746267</v>
      </c>
      <c r="Y66" s="23">
        <f t="shared" si="6"/>
        <v>6.984</v>
      </c>
    </row>
    <row r="67" spans="1:25">
      <c r="A67" s="16">
        <v>66</v>
      </c>
      <c r="B67" s="20" t="s">
        <v>90</v>
      </c>
      <c r="C67" s="20">
        <v>1</v>
      </c>
      <c r="D67" s="20">
        <v>0</v>
      </c>
      <c r="E67" s="20">
        <f t="shared" ref="E67:E98" si="8">LOG(D67+0.01)</f>
        <v>-2</v>
      </c>
      <c r="F67" s="21">
        <f t="shared" si="7"/>
        <v>0</v>
      </c>
      <c r="G67" s="22">
        <v>-0.325257326148</v>
      </c>
      <c r="H67">
        <v>3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 s="16">
        <v>0.872</v>
      </c>
      <c r="R67" s="16">
        <v>541</v>
      </c>
      <c r="S67" s="17">
        <f t="shared" ref="S67:S98" si="9">R67/Q67/10000</f>
        <v>0.0620412844036697</v>
      </c>
      <c r="T67" s="19">
        <v>74650648.668476</v>
      </c>
      <c r="U67" s="16">
        <v>2.097</v>
      </c>
      <c r="V67" s="16">
        <v>2.457</v>
      </c>
      <c r="W67" s="16">
        <v>2.664</v>
      </c>
      <c r="X67" s="16">
        <v>2.871</v>
      </c>
      <c r="Y67" s="23">
        <f t="shared" ref="Y67:Y98" si="10">X67-U67</f>
        <v>0.774</v>
      </c>
    </row>
    <row r="68" spans="1:25">
      <c r="A68" s="16">
        <v>67</v>
      </c>
      <c r="B68" s="20" t="s">
        <v>91</v>
      </c>
      <c r="C68" s="20">
        <v>1</v>
      </c>
      <c r="D68" s="20">
        <v>2</v>
      </c>
      <c r="E68" s="20">
        <f t="shared" si="8"/>
        <v>0.303196057420489</v>
      </c>
      <c r="F68" s="21">
        <f t="shared" si="7"/>
        <v>0.000554073973672476</v>
      </c>
      <c r="G68" s="22">
        <v>-0.195317977289</v>
      </c>
      <c r="H68">
        <v>0</v>
      </c>
      <c r="I68">
        <v>0</v>
      </c>
      <c r="J68">
        <v>1</v>
      </c>
      <c r="K68">
        <v>0</v>
      </c>
      <c r="L68">
        <v>0</v>
      </c>
      <c r="M68">
        <v>5</v>
      </c>
      <c r="N68">
        <v>0</v>
      </c>
      <c r="O68">
        <v>8</v>
      </c>
      <c r="P68">
        <v>0</v>
      </c>
      <c r="Q68" s="16">
        <v>4.6332</v>
      </c>
      <c r="R68" s="16">
        <v>2198</v>
      </c>
      <c r="S68" s="17">
        <f t="shared" si="9"/>
        <v>0.0474402141068808</v>
      </c>
      <c r="T68" s="19">
        <v>360962632.253548</v>
      </c>
      <c r="U68" s="16">
        <v>6.903</v>
      </c>
      <c r="V68" s="16">
        <v>10.134</v>
      </c>
      <c r="W68" s="16">
        <v>13.095</v>
      </c>
      <c r="X68" s="16">
        <v>15.048</v>
      </c>
      <c r="Y68" s="23">
        <f t="shared" si="10"/>
        <v>8.145</v>
      </c>
    </row>
    <row r="69" spans="1:25">
      <c r="A69" s="16">
        <v>68</v>
      </c>
      <c r="B69" s="20" t="s">
        <v>92</v>
      </c>
      <c r="C69" s="20">
        <v>1</v>
      </c>
      <c r="D69" s="20">
        <v>3</v>
      </c>
      <c r="E69" s="20">
        <f t="shared" si="8"/>
        <v>0.478566495593843</v>
      </c>
      <c r="F69" s="21">
        <f t="shared" si="7"/>
        <v>0.00313645881290731</v>
      </c>
      <c r="G69" s="22">
        <v>-0.43453661933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 s="16">
        <v>1.8587</v>
      </c>
      <c r="R69" s="16">
        <v>747</v>
      </c>
      <c r="S69" s="17">
        <f t="shared" si="9"/>
        <v>0.0401893796739657</v>
      </c>
      <c r="T69" s="19">
        <v>95649271.326448</v>
      </c>
      <c r="U69" s="16">
        <v>1.18534683</v>
      </c>
      <c r="V69" s="16">
        <v>1.59034683</v>
      </c>
      <c r="W69" s="16">
        <v>2.19334683</v>
      </c>
      <c r="X69" s="16">
        <v>2.50834683</v>
      </c>
      <c r="Y69" s="23">
        <f t="shared" si="10"/>
        <v>1.323</v>
      </c>
    </row>
    <row r="70" spans="1:25">
      <c r="A70" s="16">
        <v>69</v>
      </c>
      <c r="B70" s="20" t="s">
        <v>93</v>
      </c>
      <c r="C70" s="20">
        <v>1</v>
      </c>
      <c r="D70" s="20">
        <v>3</v>
      </c>
      <c r="E70" s="20">
        <f t="shared" si="8"/>
        <v>0.478566495593843</v>
      </c>
      <c r="F70" s="21">
        <f t="shared" si="7"/>
        <v>0.00121557630656891</v>
      </c>
      <c r="G70" s="22">
        <v>-0.277599576239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6</v>
      </c>
      <c r="P70">
        <v>0</v>
      </c>
      <c r="Q70" s="16">
        <v>2.2213</v>
      </c>
      <c r="R70" s="16">
        <v>1299</v>
      </c>
      <c r="S70" s="17">
        <f t="shared" si="9"/>
        <v>0.0584792688965921</v>
      </c>
      <c r="T70" s="19">
        <v>246796518.14437</v>
      </c>
      <c r="U70" s="16">
        <v>1.062</v>
      </c>
      <c r="V70" s="16">
        <v>1.737</v>
      </c>
      <c r="W70" s="16">
        <v>2.637</v>
      </c>
      <c r="X70" s="16">
        <v>2.808</v>
      </c>
      <c r="Y70" s="23">
        <f t="shared" si="10"/>
        <v>1.746</v>
      </c>
    </row>
    <row r="71" spans="1:25">
      <c r="A71" s="16">
        <v>70</v>
      </c>
      <c r="B71" s="20" t="s">
        <v>94</v>
      </c>
      <c r="C71" s="20">
        <v>1</v>
      </c>
      <c r="D71" s="20">
        <v>0</v>
      </c>
      <c r="E71" s="20">
        <f t="shared" si="8"/>
        <v>-2</v>
      </c>
      <c r="F71" s="21">
        <f t="shared" si="7"/>
        <v>0</v>
      </c>
      <c r="G71" s="22">
        <v>-0.334386451922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16">
        <v>0.6521</v>
      </c>
      <c r="R71" s="16">
        <v>408</v>
      </c>
      <c r="S71" s="17">
        <f t="shared" si="9"/>
        <v>0.0625670909369729</v>
      </c>
      <c r="T71" s="19">
        <v>124316140.755436</v>
      </c>
      <c r="U71" s="16">
        <v>0.654591225</v>
      </c>
      <c r="V71" s="16">
        <v>1.527591225</v>
      </c>
      <c r="W71" s="16">
        <v>1.680591225</v>
      </c>
      <c r="X71" s="16">
        <v>1.698591225</v>
      </c>
      <c r="Y71" s="23">
        <f t="shared" si="10"/>
        <v>1.044</v>
      </c>
    </row>
    <row r="72" spans="1:25">
      <c r="A72" s="16">
        <v>71</v>
      </c>
      <c r="B72" s="20" t="s">
        <v>95</v>
      </c>
      <c r="C72" s="20">
        <v>1</v>
      </c>
      <c r="D72" s="20">
        <v>0</v>
      </c>
      <c r="E72" s="20">
        <f t="shared" si="8"/>
        <v>-2</v>
      </c>
      <c r="F72" s="21">
        <f t="shared" si="7"/>
        <v>0</v>
      </c>
      <c r="G72" s="22">
        <v>-0.277599576239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16">
        <v>0.4519</v>
      </c>
      <c r="R72" s="16">
        <v>486</v>
      </c>
      <c r="S72" s="17">
        <f t="shared" si="9"/>
        <v>0.107545917238327</v>
      </c>
      <c r="T72" s="19">
        <v>156943493.042379</v>
      </c>
      <c r="U72" s="16">
        <v>1.50423949498</v>
      </c>
      <c r="V72" s="16">
        <v>1.99023949498</v>
      </c>
      <c r="W72" s="16">
        <v>2.35902789681</v>
      </c>
      <c r="X72" s="16">
        <v>2.49402789681</v>
      </c>
      <c r="Y72" s="23">
        <f t="shared" si="10"/>
        <v>0.98978840183</v>
      </c>
    </row>
    <row r="73" spans="1:25">
      <c r="A73" s="16">
        <v>72</v>
      </c>
      <c r="B73" s="20" t="s">
        <v>96</v>
      </c>
      <c r="C73" s="20">
        <v>3</v>
      </c>
      <c r="D73" s="20">
        <v>2292</v>
      </c>
      <c r="E73" s="20">
        <f t="shared" si="8"/>
        <v>3.3602165081188</v>
      </c>
      <c r="F73" s="21">
        <f t="shared" si="7"/>
        <v>3.16356208830451</v>
      </c>
      <c r="G73" s="22">
        <v>0.120243597714</v>
      </c>
      <c r="H73">
        <v>50</v>
      </c>
      <c r="I73">
        <v>1</v>
      </c>
      <c r="J73">
        <v>18</v>
      </c>
      <c r="K73">
        <v>2</v>
      </c>
      <c r="L73">
        <v>12</v>
      </c>
      <c r="M73">
        <v>28</v>
      </c>
      <c r="N73">
        <v>1</v>
      </c>
      <c r="O73">
        <v>13</v>
      </c>
      <c r="P73">
        <v>1</v>
      </c>
      <c r="Q73" s="16">
        <v>8.0988</v>
      </c>
      <c r="R73" s="16">
        <v>33630</v>
      </c>
      <c r="S73" s="17">
        <f t="shared" si="9"/>
        <v>0.415246703215291</v>
      </c>
      <c r="T73" s="19">
        <v>72449976.830655</v>
      </c>
      <c r="U73" s="16">
        <v>44.77512727977</v>
      </c>
      <c r="V73" s="16">
        <v>51.58905621375</v>
      </c>
      <c r="W73" s="16">
        <v>57.42203873671</v>
      </c>
      <c r="X73" s="16">
        <v>60.02287812715</v>
      </c>
      <c r="Y73" s="23">
        <f t="shared" si="10"/>
        <v>15.24775084738</v>
      </c>
    </row>
    <row r="74" spans="1:25">
      <c r="A74" s="16">
        <v>73</v>
      </c>
      <c r="B74" s="20" t="s">
        <v>97</v>
      </c>
      <c r="C74" s="20">
        <v>2</v>
      </c>
      <c r="D74" s="20">
        <v>217</v>
      </c>
      <c r="E74" s="20">
        <f t="shared" si="8"/>
        <v>2.336479746958</v>
      </c>
      <c r="F74" s="21">
        <f t="shared" si="7"/>
        <v>0.565419280669046</v>
      </c>
      <c r="G74" s="22">
        <v>0.222127458839</v>
      </c>
      <c r="H74">
        <v>33</v>
      </c>
      <c r="I74">
        <v>0</v>
      </c>
      <c r="J74">
        <v>3</v>
      </c>
      <c r="K74">
        <v>2</v>
      </c>
      <c r="L74">
        <v>0</v>
      </c>
      <c r="M74">
        <v>4</v>
      </c>
      <c r="N74">
        <v>0</v>
      </c>
      <c r="O74">
        <v>2</v>
      </c>
      <c r="P74">
        <v>0</v>
      </c>
      <c r="Q74" s="16">
        <v>4.7837</v>
      </c>
      <c r="R74" s="16">
        <v>25699</v>
      </c>
      <c r="S74" s="17">
        <f t="shared" si="9"/>
        <v>0.537220143403642</v>
      </c>
      <c r="T74" s="19">
        <v>38378599.283567</v>
      </c>
      <c r="U74" s="16">
        <v>17.37651688689</v>
      </c>
      <c r="V74" s="16">
        <v>20.11483475897</v>
      </c>
      <c r="W74" s="16">
        <v>22.62844316492</v>
      </c>
      <c r="X74" s="16">
        <v>23.2025095178</v>
      </c>
      <c r="Y74" s="23">
        <f t="shared" si="10"/>
        <v>5.82599263091</v>
      </c>
    </row>
    <row r="75" spans="1:25">
      <c r="A75" s="16">
        <v>74</v>
      </c>
      <c r="B75" s="20" t="s">
        <v>98</v>
      </c>
      <c r="C75" s="20">
        <v>1</v>
      </c>
      <c r="D75" s="20">
        <v>8</v>
      </c>
      <c r="E75" s="20">
        <f t="shared" si="8"/>
        <v>0.903632516084238</v>
      </c>
      <c r="F75" s="21">
        <f t="shared" si="7"/>
        <v>0.00434255223588253</v>
      </c>
      <c r="G75" s="22">
        <v>-0.337581645943</v>
      </c>
      <c r="H75">
        <v>0</v>
      </c>
      <c r="I75">
        <v>1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 s="16">
        <v>1.2588</v>
      </c>
      <c r="R75" s="16">
        <v>2191</v>
      </c>
      <c r="S75" s="17">
        <f t="shared" si="9"/>
        <v>0.174054655227201</v>
      </c>
      <c r="T75" s="19">
        <v>184223460.43177</v>
      </c>
      <c r="U75" s="16">
        <v>2.675408775</v>
      </c>
      <c r="V75" s="16">
        <v>3.134408775</v>
      </c>
      <c r="W75" s="16">
        <v>3.701408775</v>
      </c>
      <c r="X75" s="16">
        <v>3.854408775</v>
      </c>
      <c r="Y75" s="23">
        <f t="shared" si="10"/>
        <v>1.179</v>
      </c>
    </row>
    <row r="76" spans="1:25">
      <c r="A76" s="16">
        <v>75</v>
      </c>
      <c r="B76" s="20" t="s">
        <v>99</v>
      </c>
      <c r="C76" s="20">
        <v>1</v>
      </c>
      <c r="D76" s="20">
        <v>7</v>
      </c>
      <c r="E76" s="20">
        <f t="shared" si="8"/>
        <v>0.845718017966659</v>
      </c>
      <c r="F76" s="21">
        <f t="shared" si="7"/>
        <v>0.00653083621418869</v>
      </c>
      <c r="G76" s="22">
        <v>-0.387013142711</v>
      </c>
      <c r="H76">
        <v>0</v>
      </c>
      <c r="I76">
        <v>1</v>
      </c>
      <c r="J76">
        <v>0</v>
      </c>
      <c r="K76">
        <v>1</v>
      </c>
      <c r="L76">
        <v>0</v>
      </c>
      <c r="M76">
        <v>3</v>
      </c>
      <c r="N76">
        <v>0</v>
      </c>
      <c r="O76">
        <v>2</v>
      </c>
      <c r="P76">
        <v>0</v>
      </c>
      <c r="Q76" s="16">
        <v>1.0793</v>
      </c>
      <c r="R76" s="16">
        <v>2946</v>
      </c>
      <c r="S76" s="17">
        <f t="shared" si="9"/>
        <v>0.272954692856481</v>
      </c>
      <c r="T76" s="19">
        <v>107183824.09885</v>
      </c>
      <c r="U76" s="16">
        <v>5.688</v>
      </c>
      <c r="V76" s="16">
        <v>7.95996975164</v>
      </c>
      <c r="W76" s="16">
        <v>9.27396975164</v>
      </c>
      <c r="X76" s="16">
        <v>10.35396975164</v>
      </c>
      <c r="Y76" s="23">
        <f t="shared" si="10"/>
        <v>4.66596975164</v>
      </c>
    </row>
    <row r="77" spans="1:25">
      <c r="A77" s="16">
        <v>76</v>
      </c>
      <c r="B77" s="20" t="s">
        <v>100</v>
      </c>
      <c r="C77" s="20">
        <v>1</v>
      </c>
      <c r="D77" s="20">
        <v>17</v>
      </c>
      <c r="E77" s="20">
        <f t="shared" si="8"/>
        <v>1.23070431361257</v>
      </c>
      <c r="F77" s="21">
        <f t="shared" si="7"/>
        <v>0.0208709368138708</v>
      </c>
      <c r="G77" s="22">
        <v>-0.345622914824</v>
      </c>
      <c r="H77">
        <v>25</v>
      </c>
      <c r="I77">
        <v>1</v>
      </c>
      <c r="J77">
        <v>1</v>
      </c>
      <c r="K77">
        <v>0</v>
      </c>
      <c r="L77">
        <v>1</v>
      </c>
      <c r="M77">
        <v>6</v>
      </c>
      <c r="N77">
        <v>0</v>
      </c>
      <c r="O77">
        <v>9</v>
      </c>
      <c r="P77">
        <v>0</v>
      </c>
      <c r="Q77" s="16">
        <v>4.8292</v>
      </c>
      <c r="R77" s="16">
        <v>3553</v>
      </c>
      <c r="S77" s="17">
        <f t="shared" si="9"/>
        <v>0.0735732626521991</v>
      </c>
      <c r="T77" s="19">
        <v>81452980.053592</v>
      </c>
      <c r="U77" s="16">
        <v>7.2</v>
      </c>
      <c r="V77" s="16">
        <v>8.064</v>
      </c>
      <c r="W77" s="16">
        <v>8.946</v>
      </c>
      <c r="X77" s="16">
        <v>9.46956700937</v>
      </c>
      <c r="Y77" s="23">
        <f t="shared" si="10"/>
        <v>2.26956700937</v>
      </c>
    </row>
    <row r="78" spans="1:25">
      <c r="A78" s="16">
        <v>77</v>
      </c>
      <c r="B78" s="20" t="s">
        <v>101</v>
      </c>
      <c r="C78" s="20">
        <v>1</v>
      </c>
      <c r="D78" s="20">
        <v>89</v>
      </c>
      <c r="E78" s="20">
        <f t="shared" si="8"/>
        <v>1.9494388010365</v>
      </c>
      <c r="F78" s="21">
        <f t="shared" si="7"/>
        <v>0.0743916353984403</v>
      </c>
      <c r="G78" s="22">
        <v>-0.505029120323</v>
      </c>
      <c r="H78">
        <v>41</v>
      </c>
      <c r="I78">
        <v>1</v>
      </c>
      <c r="J78">
        <v>1</v>
      </c>
      <c r="K78">
        <v>0</v>
      </c>
      <c r="L78">
        <v>4</v>
      </c>
      <c r="M78">
        <v>8</v>
      </c>
      <c r="N78">
        <v>0</v>
      </c>
      <c r="O78">
        <v>14</v>
      </c>
      <c r="P78">
        <v>0</v>
      </c>
      <c r="Q78" s="16">
        <v>4.8336</v>
      </c>
      <c r="R78" s="16">
        <v>3228</v>
      </c>
      <c r="S78" s="17">
        <f t="shared" si="9"/>
        <v>0.0667825223435948</v>
      </c>
      <c r="T78" s="19">
        <v>119637106.407619</v>
      </c>
      <c r="U78" s="16">
        <v>9.918</v>
      </c>
      <c r="V78" s="16">
        <v>10.998</v>
      </c>
      <c r="W78" s="16">
        <v>13.095</v>
      </c>
      <c r="X78" s="16">
        <v>13.572</v>
      </c>
      <c r="Y78" s="23">
        <f t="shared" si="10"/>
        <v>3.654</v>
      </c>
    </row>
    <row r="79" spans="1:25">
      <c r="A79" s="16">
        <v>78</v>
      </c>
      <c r="B79" s="20" t="s">
        <v>102</v>
      </c>
      <c r="C79" s="20">
        <v>1</v>
      </c>
      <c r="D79" s="20">
        <v>12</v>
      </c>
      <c r="E79" s="20">
        <f t="shared" si="8"/>
        <v>1.07954300740291</v>
      </c>
      <c r="F79" s="21">
        <f t="shared" si="7"/>
        <v>0.0364089966112293</v>
      </c>
      <c r="G79" s="22">
        <v>0.231096685797</v>
      </c>
      <c r="H79">
        <v>6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 s="16">
        <v>1.0386</v>
      </c>
      <c r="R79" s="16">
        <v>416</v>
      </c>
      <c r="S79" s="17">
        <f t="shared" si="9"/>
        <v>0.040053918736761</v>
      </c>
      <c r="T79" s="16">
        <v>32958886.86012</v>
      </c>
      <c r="U79" s="16">
        <v>0.639</v>
      </c>
      <c r="V79" s="16">
        <v>0.72</v>
      </c>
      <c r="W79" s="16">
        <v>1.008</v>
      </c>
      <c r="X79" s="16">
        <v>1.071</v>
      </c>
      <c r="Y79" s="23">
        <f t="shared" si="10"/>
        <v>0.432</v>
      </c>
    </row>
    <row r="80" spans="1:25">
      <c r="A80" s="16">
        <v>79</v>
      </c>
      <c r="B80" s="20" t="s">
        <v>103</v>
      </c>
      <c r="C80" s="20">
        <v>2</v>
      </c>
      <c r="D80" s="20">
        <v>59</v>
      </c>
      <c r="E80" s="20">
        <f t="shared" si="8"/>
        <v>1.770925614639</v>
      </c>
      <c r="F80" s="21">
        <f t="shared" si="7"/>
        <v>0.118394061058537</v>
      </c>
      <c r="G80" s="22">
        <v>0.119221910266</v>
      </c>
      <c r="H80">
        <v>45</v>
      </c>
      <c r="I80">
        <v>0</v>
      </c>
      <c r="J80">
        <v>5</v>
      </c>
      <c r="K80">
        <v>0</v>
      </c>
      <c r="L80">
        <v>1</v>
      </c>
      <c r="M80">
        <v>9</v>
      </c>
      <c r="N80">
        <v>2</v>
      </c>
      <c r="O80">
        <v>7</v>
      </c>
      <c r="P80">
        <v>0</v>
      </c>
      <c r="Q80" s="16">
        <v>3.0685</v>
      </c>
      <c r="R80" s="16">
        <v>8960</v>
      </c>
      <c r="S80" s="17">
        <f t="shared" si="9"/>
        <v>0.291999348215741</v>
      </c>
      <c r="T80" s="19">
        <v>49833580.732423</v>
      </c>
      <c r="U80" s="16">
        <v>12.54131482329</v>
      </c>
      <c r="V80" s="16">
        <v>14.3718883737</v>
      </c>
      <c r="W80" s="16">
        <v>17.44747731386</v>
      </c>
      <c r="X80" s="16">
        <v>18.72835619377</v>
      </c>
      <c r="Y80" s="23">
        <f t="shared" si="10"/>
        <v>6.18704137048</v>
      </c>
    </row>
    <row r="81" spans="1:25">
      <c r="A81" s="16">
        <v>80</v>
      </c>
      <c r="B81" s="20" t="s">
        <v>104</v>
      </c>
      <c r="C81" s="20">
        <v>2</v>
      </c>
      <c r="D81" s="20">
        <v>241</v>
      </c>
      <c r="E81" s="20">
        <f t="shared" si="8"/>
        <v>2.38203506271893</v>
      </c>
      <c r="F81" s="21">
        <f t="shared" si="7"/>
        <v>0.492473378059016</v>
      </c>
      <c r="G81" s="22">
        <v>3.69387224916</v>
      </c>
      <c r="H81">
        <v>7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3</v>
      </c>
      <c r="P81">
        <v>0</v>
      </c>
      <c r="Q81" s="16">
        <v>1.6745</v>
      </c>
      <c r="R81" s="16">
        <v>1271</v>
      </c>
      <c r="S81" s="17">
        <f t="shared" si="9"/>
        <v>0.0759032547028964</v>
      </c>
      <c r="T81" s="19">
        <v>48936655.408634</v>
      </c>
      <c r="U81" s="16">
        <v>6.78593389961</v>
      </c>
      <c r="V81" s="16">
        <v>7.10093389961</v>
      </c>
      <c r="W81" s="16">
        <v>7.82993389961</v>
      </c>
      <c r="X81" s="16">
        <v>8.07293389961</v>
      </c>
      <c r="Y81" s="23">
        <f t="shared" si="10"/>
        <v>1.287</v>
      </c>
    </row>
    <row r="82" spans="1:25">
      <c r="A82" s="16">
        <v>81</v>
      </c>
      <c r="B82" s="20" t="s">
        <v>105</v>
      </c>
      <c r="C82" s="20">
        <v>2</v>
      </c>
      <c r="D82" s="20">
        <v>22</v>
      </c>
      <c r="E82" s="20">
        <f t="shared" si="8"/>
        <v>1.34262004255335</v>
      </c>
      <c r="F82" s="21">
        <f t="shared" si="7"/>
        <v>0.0490680699193964</v>
      </c>
      <c r="G82" s="22">
        <v>0.279207814159</v>
      </c>
      <c r="H82">
        <v>15</v>
      </c>
      <c r="I82">
        <v>0</v>
      </c>
      <c r="J82">
        <v>1</v>
      </c>
      <c r="K82">
        <v>0</v>
      </c>
      <c r="L82">
        <v>1</v>
      </c>
      <c r="M82">
        <v>3</v>
      </c>
      <c r="N82">
        <v>0</v>
      </c>
      <c r="O82">
        <v>7</v>
      </c>
      <c r="P82">
        <v>0</v>
      </c>
      <c r="Q82" s="16">
        <v>1.47</v>
      </c>
      <c r="R82" s="16">
        <v>1392</v>
      </c>
      <c r="S82" s="17">
        <f t="shared" si="9"/>
        <v>0.0946938775510204</v>
      </c>
      <c r="T82" s="19">
        <v>44835674.270741</v>
      </c>
      <c r="U82" s="16">
        <v>5.42504101005</v>
      </c>
      <c r="V82" s="16">
        <v>8.06558954366</v>
      </c>
      <c r="W82" s="16">
        <v>10.46629067948</v>
      </c>
      <c r="X82" s="16">
        <v>11.89650605625</v>
      </c>
      <c r="Y82" s="23">
        <f t="shared" si="10"/>
        <v>6.4714650462</v>
      </c>
    </row>
    <row r="83" spans="1:25">
      <c r="A83" s="16">
        <v>82</v>
      </c>
      <c r="B83" s="20" t="s">
        <v>106</v>
      </c>
      <c r="C83" s="20">
        <v>2</v>
      </c>
      <c r="D83" s="20">
        <v>6</v>
      </c>
      <c r="E83" s="20">
        <f t="shared" si="8"/>
        <v>0.77887447200274</v>
      </c>
      <c r="F83" s="21">
        <f t="shared" si="7"/>
        <v>0.00433159279080582</v>
      </c>
      <c r="G83" s="22">
        <v>0.37718427198</v>
      </c>
      <c r="H83">
        <v>11</v>
      </c>
      <c r="I83">
        <v>0</v>
      </c>
      <c r="J83">
        <v>0</v>
      </c>
      <c r="K83">
        <v>0</v>
      </c>
      <c r="L83">
        <v>0</v>
      </c>
      <c r="M83">
        <v>4</v>
      </c>
      <c r="N83">
        <v>0</v>
      </c>
      <c r="O83">
        <v>0</v>
      </c>
      <c r="P83">
        <v>0</v>
      </c>
      <c r="Q83" s="16">
        <v>1.4464</v>
      </c>
      <c r="R83" s="16">
        <v>803</v>
      </c>
      <c r="S83" s="17">
        <f t="shared" si="9"/>
        <v>0.0555171460176991</v>
      </c>
      <c r="T83" s="19">
        <v>138517175.777361</v>
      </c>
      <c r="U83" s="16">
        <v>12.582</v>
      </c>
      <c r="V83" s="16">
        <v>12.771</v>
      </c>
      <c r="W83" s="16">
        <v>13.374</v>
      </c>
      <c r="X83" s="16">
        <v>13.869</v>
      </c>
      <c r="Y83" s="23">
        <f t="shared" si="10"/>
        <v>1.287</v>
      </c>
    </row>
    <row r="84" spans="1:25">
      <c r="A84" s="16">
        <v>83</v>
      </c>
      <c r="B84" s="20" t="s">
        <v>107</v>
      </c>
      <c r="C84" s="20">
        <v>1</v>
      </c>
      <c r="D84" s="20">
        <v>12</v>
      </c>
      <c r="E84" s="20">
        <f t="shared" si="8"/>
        <v>1.07954300740291</v>
      </c>
      <c r="F84" s="21">
        <f t="shared" si="7"/>
        <v>0.0155138830154119</v>
      </c>
      <c r="G84" s="22">
        <v>-0.535020321303</v>
      </c>
      <c r="H84">
        <v>0</v>
      </c>
      <c r="I84">
        <v>0</v>
      </c>
      <c r="J84">
        <v>0</v>
      </c>
      <c r="K84">
        <v>0</v>
      </c>
      <c r="L84">
        <v>0</v>
      </c>
      <c r="M84">
        <v>4</v>
      </c>
      <c r="N84">
        <v>1</v>
      </c>
      <c r="O84">
        <v>4</v>
      </c>
      <c r="P84">
        <v>0</v>
      </c>
      <c r="Q84" s="16">
        <v>1.2091</v>
      </c>
      <c r="R84" s="16">
        <v>1226</v>
      </c>
      <c r="S84" s="17">
        <f t="shared" si="9"/>
        <v>0.101397733851625</v>
      </c>
      <c r="T84" s="16">
        <v>77350074.04709</v>
      </c>
      <c r="U84" s="16">
        <v>4.59</v>
      </c>
      <c r="V84" s="16">
        <v>5.589</v>
      </c>
      <c r="W84" s="16">
        <v>5.850613504</v>
      </c>
      <c r="X84" s="16">
        <v>5.90060323781</v>
      </c>
      <c r="Y84" s="23">
        <f t="shared" si="10"/>
        <v>1.31060323781</v>
      </c>
    </row>
    <row r="85" spans="1:25">
      <c r="A85" s="16">
        <v>84</v>
      </c>
      <c r="B85" s="20" t="s">
        <v>108</v>
      </c>
      <c r="C85" s="20">
        <v>1</v>
      </c>
      <c r="D85" s="20">
        <v>82</v>
      </c>
      <c r="E85" s="20">
        <f t="shared" si="8"/>
        <v>1.91386681189624</v>
      </c>
      <c r="F85" s="21">
        <f t="shared" si="7"/>
        <v>0.142500030334503</v>
      </c>
      <c r="G85" s="22">
        <v>-0.546923542202</v>
      </c>
      <c r="H85">
        <v>0</v>
      </c>
      <c r="I85">
        <v>0</v>
      </c>
      <c r="J85">
        <v>0</v>
      </c>
      <c r="K85">
        <v>1</v>
      </c>
      <c r="L85">
        <v>0</v>
      </c>
      <c r="M85">
        <v>2</v>
      </c>
      <c r="N85">
        <v>1</v>
      </c>
      <c r="O85">
        <v>3</v>
      </c>
      <c r="P85">
        <v>0</v>
      </c>
      <c r="Q85" s="16">
        <v>1.3233</v>
      </c>
      <c r="R85" s="16">
        <v>865</v>
      </c>
      <c r="S85" s="17">
        <f t="shared" si="9"/>
        <v>0.0653668858157636</v>
      </c>
      <c r="T85" s="19">
        <v>57543847.399551</v>
      </c>
      <c r="U85" s="16">
        <v>1.98</v>
      </c>
      <c r="V85" s="16">
        <v>2.439</v>
      </c>
      <c r="W85" s="16">
        <v>2.726386496</v>
      </c>
      <c r="X85" s="16">
        <v>2.82939676219</v>
      </c>
      <c r="Y85" s="23">
        <f t="shared" si="10"/>
        <v>0.84939676219</v>
      </c>
    </row>
    <row r="86" spans="1:25">
      <c r="A86" s="16">
        <v>85</v>
      </c>
      <c r="B86" s="20" t="s">
        <v>109</v>
      </c>
      <c r="C86" s="20">
        <v>1</v>
      </c>
      <c r="D86" s="20">
        <v>10</v>
      </c>
      <c r="E86" s="20">
        <f t="shared" si="8"/>
        <v>1.00043407747932</v>
      </c>
      <c r="F86" s="21">
        <f t="shared" si="7"/>
        <v>0.0243496175241002</v>
      </c>
      <c r="G86" s="22">
        <v>-0.380515023569</v>
      </c>
      <c r="H86">
        <v>11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 s="16">
        <v>1.0347</v>
      </c>
      <c r="R86" s="16">
        <v>442</v>
      </c>
      <c r="S86" s="17">
        <f t="shared" si="9"/>
        <v>0.0427176959505171</v>
      </c>
      <c r="T86" s="19">
        <v>41068406.886073</v>
      </c>
      <c r="U86" s="16">
        <v>0.97123439224</v>
      </c>
      <c r="V86" s="16">
        <v>0.98923439224</v>
      </c>
      <c r="W86" s="16">
        <v>1.07923439224</v>
      </c>
      <c r="X86" s="16">
        <v>1.18043741224</v>
      </c>
      <c r="Y86" s="23">
        <f t="shared" si="10"/>
        <v>0.20920302</v>
      </c>
    </row>
    <row r="87" spans="1:25">
      <c r="A87" s="16">
        <v>86</v>
      </c>
      <c r="B87" s="20" t="s">
        <v>110</v>
      </c>
      <c r="C87" s="20">
        <v>1</v>
      </c>
      <c r="D87" s="20">
        <v>12</v>
      </c>
      <c r="E87" s="20">
        <f t="shared" si="8"/>
        <v>1.07954300740291</v>
      </c>
      <c r="F87" s="21">
        <f t="shared" si="7"/>
        <v>0.0193501240686678</v>
      </c>
      <c r="G87" s="22">
        <v>0.18952636041</v>
      </c>
      <c r="H87">
        <v>17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2</v>
      </c>
      <c r="P87">
        <v>0</v>
      </c>
      <c r="Q87" s="16">
        <v>0.8202</v>
      </c>
      <c r="R87" s="16">
        <v>839</v>
      </c>
      <c r="S87" s="17">
        <f t="shared" si="9"/>
        <v>0.102292123872226</v>
      </c>
      <c r="T87" s="19">
        <v>62015106.246428</v>
      </c>
      <c r="U87" s="16">
        <v>4.131</v>
      </c>
      <c r="V87" s="16">
        <v>4.42663110992</v>
      </c>
      <c r="W87" s="16">
        <v>5.50460000536</v>
      </c>
      <c r="X87" s="16">
        <v>5.81960000536</v>
      </c>
      <c r="Y87" s="23">
        <f t="shared" si="10"/>
        <v>1.68860000536</v>
      </c>
    </row>
    <row r="88" spans="1:25">
      <c r="A88" s="16">
        <v>87</v>
      </c>
      <c r="B88" s="20" t="s">
        <v>111</v>
      </c>
      <c r="C88" s="20">
        <v>1</v>
      </c>
      <c r="D88" s="20">
        <v>3</v>
      </c>
      <c r="E88" s="20">
        <f t="shared" si="8"/>
        <v>0.478566495593843</v>
      </c>
      <c r="F88" s="21">
        <f t="shared" si="7"/>
        <v>0.00393366587787859</v>
      </c>
      <c r="G88" s="22">
        <v>-0.531330894408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 s="16">
        <v>0.7267</v>
      </c>
      <c r="R88" s="16">
        <v>408</v>
      </c>
      <c r="S88" s="17">
        <f t="shared" si="9"/>
        <v>0.0561442135681849</v>
      </c>
      <c r="T88" s="19">
        <v>76264738.621316</v>
      </c>
      <c r="U88" s="16">
        <v>1.593</v>
      </c>
      <c r="V88" s="16">
        <v>2.106</v>
      </c>
      <c r="W88" s="16">
        <v>2.412</v>
      </c>
      <c r="X88" s="16">
        <v>2.619</v>
      </c>
      <c r="Y88" s="23">
        <f t="shared" si="10"/>
        <v>1.026</v>
      </c>
    </row>
    <row r="89" spans="1:25">
      <c r="A89" s="16">
        <v>88</v>
      </c>
      <c r="B89" s="20" t="s">
        <v>112</v>
      </c>
      <c r="C89" s="20">
        <v>1</v>
      </c>
      <c r="D89" s="20">
        <v>9</v>
      </c>
      <c r="E89" s="20">
        <f t="shared" si="8"/>
        <v>0.954724790979063</v>
      </c>
      <c r="F89" s="21">
        <f t="shared" si="7"/>
        <v>0.0295367202016933</v>
      </c>
      <c r="G89" s="22">
        <v>0.258974425129</v>
      </c>
      <c r="H89">
        <v>0</v>
      </c>
      <c r="I89">
        <v>0</v>
      </c>
      <c r="J89">
        <v>1</v>
      </c>
      <c r="K89">
        <v>0</v>
      </c>
      <c r="L89">
        <v>2</v>
      </c>
      <c r="M89">
        <v>2</v>
      </c>
      <c r="N89">
        <v>0</v>
      </c>
      <c r="O89">
        <v>5</v>
      </c>
      <c r="P89">
        <v>0</v>
      </c>
      <c r="Q89" s="16">
        <v>1.0253</v>
      </c>
      <c r="R89" s="16">
        <v>1004</v>
      </c>
      <c r="S89" s="17">
        <f t="shared" si="9"/>
        <v>0.0979225592509509</v>
      </c>
      <c r="T89" s="19">
        <v>30470546.284567</v>
      </c>
      <c r="U89" s="16">
        <v>1.54232145366</v>
      </c>
      <c r="V89" s="16">
        <v>1.80332145366</v>
      </c>
      <c r="W89" s="16">
        <v>2.46086007537</v>
      </c>
      <c r="X89" s="16">
        <v>3.09086007537</v>
      </c>
      <c r="Y89" s="23">
        <f t="shared" si="10"/>
        <v>1.54853862171</v>
      </c>
    </row>
    <row r="90" spans="1:25">
      <c r="A90" s="16">
        <v>89</v>
      </c>
      <c r="B90" s="20" t="s">
        <v>113</v>
      </c>
      <c r="C90" s="20">
        <v>1</v>
      </c>
      <c r="D90" s="20">
        <v>14</v>
      </c>
      <c r="E90" s="20">
        <f t="shared" si="8"/>
        <v>1.14643813528577</v>
      </c>
      <c r="F90" s="21">
        <f t="shared" si="7"/>
        <v>0.0404726632457918</v>
      </c>
      <c r="G90" s="22">
        <v>-0.43654100342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6">
        <v>0.6868</v>
      </c>
      <c r="R90" s="16">
        <v>456</v>
      </c>
      <c r="S90" s="17">
        <f t="shared" si="9"/>
        <v>0.0663948747815958</v>
      </c>
      <c r="T90" s="19">
        <v>34591249.691125</v>
      </c>
      <c r="U90" s="16">
        <v>0.558</v>
      </c>
      <c r="V90" s="16">
        <v>0.585</v>
      </c>
      <c r="W90" s="16">
        <v>0.621</v>
      </c>
      <c r="X90" s="16">
        <v>0.666</v>
      </c>
      <c r="Y90" s="23">
        <f t="shared" si="10"/>
        <v>0.108</v>
      </c>
    </row>
    <row r="91" spans="1:25">
      <c r="A91" s="16">
        <v>90</v>
      </c>
      <c r="B91" s="20" t="s">
        <v>114</v>
      </c>
      <c r="C91" s="20">
        <v>1</v>
      </c>
      <c r="D91" s="20">
        <v>4</v>
      </c>
      <c r="E91" s="20">
        <f t="shared" si="8"/>
        <v>0.603144372620182</v>
      </c>
      <c r="F91" s="21">
        <f t="shared" si="7"/>
        <v>0.00629695087620061</v>
      </c>
      <c r="G91" s="22">
        <v>-0.43453661933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 s="16">
        <v>0.443</v>
      </c>
      <c r="R91" s="16">
        <v>676</v>
      </c>
      <c r="S91" s="17">
        <f t="shared" si="9"/>
        <v>0.152595936794582</v>
      </c>
      <c r="T91" s="19">
        <v>63522807.762691</v>
      </c>
      <c r="U91" s="16">
        <v>0.99</v>
      </c>
      <c r="V91" s="16">
        <v>1.188</v>
      </c>
      <c r="W91" s="16">
        <v>1.296</v>
      </c>
      <c r="X91" s="16">
        <v>1.323</v>
      </c>
      <c r="Y91" s="23">
        <f t="shared" si="10"/>
        <v>0.333</v>
      </c>
    </row>
    <row r="92" spans="1:25">
      <c r="A92" s="16">
        <v>91</v>
      </c>
      <c r="B92" s="20" t="s">
        <v>115</v>
      </c>
      <c r="C92" s="20">
        <v>1</v>
      </c>
      <c r="D92" s="20">
        <v>3</v>
      </c>
      <c r="E92" s="20">
        <f t="shared" si="8"/>
        <v>0.478566495593843</v>
      </c>
      <c r="F92" s="21">
        <f t="shared" si="7"/>
        <v>0.0166438446110855</v>
      </c>
      <c r="G92" s="22">
        <v>0.331732899403</v>
      </c>
      <c r="H92">
        <v>8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 s="16">
        <v>0.3998</v>
      </c>
      <c r="R92" s="16">
        <v>235</v>
      </c>
      <c r="S92" s="17">
        <f t="shared" si="9"/>
        <v>0.0587793896948474</v>
      </c>
      <c r="T92" s="19">
        <v>18024681.617142</v>
      </c>
      <c r="U92" s="16">
        <v>0.03676560776</v>
      </c>
      <c r="V92" s="16">
        <v>0.03676560776</v>
      </c>
      <c r="W92" s="16">
        <v>0.03676560776</v>
      </c>
      <c r="X92" s="16">
        <v>0.04199557839</v>
      </c>
      <c r="Y92" s="23">
        <f t="shared" si="10"/>
        <v>0.00522997063</v>
      </c>
    </row>
    <row r="93" spans="1:25">
      <c r="A93" s="16">
        <v>92</v>
      </c>
      <c r="B93" s="20" t="s">
        <v>116</v>
      </c>
      <c r="C93" s="20">
        <v>2</v>
      </c>
      <c r="D93" s="20">
        <v>3</v>
      </c>
      <c r="E93" s="20">
        <f t="shared" si="8"/>
        <v>0.478566495593843</v>
      </c>
      <c r="F93" s="21">
        <f t="shared" si="7"/>
        <v>0.00806692065643089</v>
      </c>
      <c r="G93" s="22">
        <v>0.296123485259</v>
      </c>
      <c r="H93">
        <v>5</v>
      </c>
      <c r="I93">
        <v>0</v>
      </c>
      <c r="J93">
        <v>0</v>
      </c>
      <c r="K93">
        <v>0</v>
      </c>
      <c r="L93">
        <v>1</v>
      </c>
      <c r="M93">
        <v>2</v>
      </c>
      <c r="N93">
        <v>0</v>
      </c>
      <c r="O93">
        <v>7</v>
      </c>
      <c r="P93">
        <v>0</v>
      </c>
      <c r="Q93" s="16">
        <v>0.7282</v>
      </c>
      <c r="R93" s="16">
        <v>769</v>
      </c>
      <c r="S93" s="17">
        <f t="shared" si="9"/>
        <v>0.105602856358143</v>
      </c>
      <c r="T93" s="19">
        <v>37188911.702118</v>
      </c>
      <c r="U93" s="16">
        <v>1.098</v>
      </c>
      <c r="V93" s="16">
        <v>1.413</v>
      </c>
      <c r="W93" s="16">
        <v>2.124</v>
      </c>
      <c r="X93" s="16">
        <v>2.358</v>
      </c>
      <c r="Y93" s="23">
        <f t="shared" si="10"/>
        <v>1.26</v>
      </c>
    </row>
    <row r="94" spans="1:25">
      <c r="A94" s="16">
        <v>93</v>
      </c>
      <c r="B94" s="20" t="s">
        <v>117</v>
      </c>
      <c r="C94" s="20">
        <v>1</v>
      </c>
      <c r="D94" s="20">
        <v>0</v>
      </c>
      <c r="E94" s="20">
        <f t="shared" si="8"/>
        <v>-2</v>
      </c>
      <c r="F94" s="21">
        <f t="shared" si="7"/>
        <v>0</v>
      </c>
      <c r="G94" s="22">
        <v>-0.482027915607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16">
        <v>0.2746</v>
      </c>
      <c r="R94" s="16">
        <v>274</v>
      </c>
      <c r="S94" s="17">
        <f t="shared" si="9"/>
        <v>0.0997815003641661</v>
      </c>
      <c r="T94" s="19">
        <v>39653847.154452</v>
      </c>
      <c r="U94" s="16">
        <v>0.387</v>
      </c>
      <c r="V94" s="16">
        <v>0.477</v>
      </c>
      <c r="W94" s="16">
        <v>0.486</v>
      </c>
      <c r="X94" s="16">
        <v>0.495</v>
      </c>
      <c r="Y94" s="23">
        <f t="shared" si="10"/>
        <v>0.108</v>
      </c>
    </row>
    <row r="95" spans="1:25">
      <c r="A95" s="16">
        <v>94</v>
      </c>
      <c r="B95" s="20" t="s">
        <v>118</v>
      </c>
      <c r="C95" s="20">
        <v>3</v>
      </c>
      <c r="D95" s="20">
        <v>2967</v>
      </c>
      <c r="E95" s="20">
        <f t="shared" si="8"/>
        <v>3.47231901006389</v>
      </c>
      <c r="F95" s="21">
        <f t="shared" si="7"/>
        <v>4.89140248793591</v>
      </c>
      <c r="G95" s="22">
        <v>0.513628323009</v>
      </c>
      <c r="H95">
        <v>57</v>
      </c>
      <c r="I95">
        <v>1</v>
      </c>
      <c r="J95">
        <v>6</v>
      </c>
      <c r="K95">
        <v>2</v>
      </c>
      <c r="L95">
        <v>6</v>
      </c>
      <c r="M95">
        <v>19</v>
      </c>
      <c r="N95">
        <v>0</v>
      </c>
      <c r="O95">
        <v>63</v>
      </c>
      <c r="P95">
        <v>0</v>
      </c>
      <c r="Q95" s="16">
        <v>14.0366</v>
      </c>
      <c r="R95" s="16">
        <v>94678</v>
      </c>
      <c r="S95" s="17">
        <f t="shared" si="9"/>
        <v>0.674508071755268</v>
      </c>
      <c r="T95" s="19">
        <v>60657449.623452</v>
      </c>
      <c r="U95" s="16">
        <v>25.35425730834</v>
      </c>
      <c r="V95" s="16">
        <v>41.65263876928</v>
      </c>
      <c r="W95" s="16">
        <v>64.1035203494</v>
      </c>
      <c r="X95" s="16">
        <v>76.74124089038</v>
      </c>
      <c r="Y95" s="23">
        <f t="shared" si="10"/>
        <v>51.38698358204</v>
      </c>
    </row>
    <row r="96" spans="1:25">
      <c r="A96" s="16">
        <v>95</v>
      </c>
      <c r="B96" s="20" t="s">
        <v>119</v>
      </c>
      <c r="C96" s="20">
        <v>2</v>
      </c>
      <c r="D96" s="20">
        <v>686</v>
      </c>
      <c r="E96" s="20">
        <f t="shared" si="8"/>
        <v>2.83633044648396</v>
      </c>
      <c r="F96" s="21">
        <f t="shared" si="7"/>
        <v>1.7002973396255</v>
      </c>
      <c r="G96" s="22">
        <v>0.245834680697</v>
      </c>
      <c r="H96">
        <v>88</v>
      </c>
      <c r="I96">
        <v>2</v>
      </c>
      <c r="J96">
        <v>22</v>
      </c>
      <c r="K96">
        <v>3</v>
      </c>
      <c r="L96">
        <v>7</v>
      </c>
      <c r="M96">
        <v>41</v>
      </c>
      <c r="N96">
        <v>3</v>
      </c>
      <c r="O96">
        <v>52</v>
      </c>
      <c r="P96">
        <v>1</v>
      </c>
      <c r="Q96" s="16">
        <v>12.7666</v>
      </c>
      <c r="R96" s="16">
        <v>77736</v>
      </c>
      <c r="S96" s="17">
        <f t="shared" si="9"/>
        <v>0.608901351965284</v>
      </c>
      <c r="T96" s="19">
        <v>40345884.452839</v>
      </c>
      <c r="U96" s="16">
        <v>43.75121841673</v>
      </c>
      <c r="V96" s="16">
        <v>52.29772747139</v>
      </c>
      <c r="W96" s="16">
        <v>62.78624301738</v>
      </c>
      <c r="X96" s="16">
        <v>69.89998434887</v>
      </c>
      <c r="Y96" s="23">
        <f t="shared" si="10"/>
        <v>26.14876593214</v>
      </c>
    </row>
    <row r="97" spans="1:25">
      <c r="A97" s="16">
        <v>96</v>
      </c>
      <c r="B97" s="20" t="s">
        <v>120</v>
      </c>
      <c r="C97" s="20">
        <v>2</v>
      </c>
      <c r="D97" s="20">
        <v>112</v>
      </c>
      <c r="E97" s="20">
        <f t="shared" si="8"/>
        <v>2.04925679723223</v>
      </c>
      <c r="F97" s="21">
        <f t="shared" si="7"/>
        <v>0.208073315952758</v>
      </c>
      <c r="G97" s="22">
        <v>1.09085836215</v>
      </c>
      <c r="H97">
        <v>12</v>
      </c>
      <c r="I97">
        <v>0</v>
      </c>
      <c r="J97">
        <v>1</v>
      </c>
      <c r="K97">
        <v>0</v>
      </c>
      <c r="L97">
        <v>3</v>
      </c>
      <c r="M97">
        <v>1</v>
      </c>
      <c r="N97">
        <v>0</v>
      </c>
      <c r="O97">
        <v>40</v>
      </c>
      <c r="P97">
        <v>0</v>
      </c>
      <c r="Q97" s="16">
        <v>1.8877</v>
      </c>
      <c r="R97" s="16">
        <v>4998</v>
      </c>
      <c r="S97" s="17">
        <f t="shared" si="9"/>
        <v>0.264766647242676</v>
      </c>
      <c r="T97" s="19">
        <v>53827180.812281</v>
      </c>
      <c r="U97" s="16">
        <v>6.768</v>
      </c>
      <c r="V97" s="16">
        <v>8.937</v>
      </c>
      <c r="W97" s="16">
        <v>13.338</v>
      </c>
      <c r="X97" s="16">
        <v>16.79607128251</v>
      </c>
      <c r="Y97" s="23">
        <f t="shared" si="10"/>
        <v>10.02807128251</v>
      </c>
    </row>
    <row r="98" spans="1:25">
      <c r="A98" s="16">
        <v>97</v>
      </c>
      <c r="B98" s="20" t="s">
        <v>121</v>
      </c>
      <c r="C98" s="20">
        <v>2</v>
      </c>
      <c r="D98" s="20">
        <v>21</v>
      </c>
      <c r="E98" s="20">
        <f t="shared" si="8"/>
        <v>1.32242605240595</v>
      </c>
      <c r="F98" s="21">
        <f t="shared" si="7"/>
        <v>0.0104688108792966</v>
      </c>
      <c r="G98" s="22">
        <v>-0.280981066143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</v>
      </c>
      <c r="Q98" s="16">
        <v>0.3121</v>
      </c>
      <c r="R98" s="16">
        <v>366</v>
      </c>
      <c r="S98" s="17">
        <f t="shared" si="9"/>
        <v>0.117270105735341</v>
      </c>
      <c r="T98" s="19">
        <v>200595848.393155</v>
      </c>
      <c r="U98" s="16">
        <v>0.89275896</v>
      </c>
      <c r="V98" s="16">
        <v>1.44175896</v>
      </c>
      <c r="W98" s="16">
        <v>1.78375896</v>
      </c>
      <c r="X98" s="16">
        <v>2.35975896</v>
      </c>
      <c r="Y98" s="23">
        <f t="shared" si="10"/>
        <v>1.467</v>
      </c>
    </row>
    <row r="99" spans="1:25">
      <c r="A99" s="16">
        <v>98</v>
      </c>
      <c r="B99" s="20" t="s">
        <v>122</v>
      </c>
      <c r="C99" s="20">
        <v>2</v>
      </c>
      <c r="D99" s="20">
        <v>19</v>
      </c>
      <c r="E99" s="20">
        <f t="shared" ref="E99:E130" si="11">LOG(D99+0.01)</f>
        <v>1.27898211686544</v>
      </c>
      <c r="F99" s="21">
        <f t="shared" si="7"/>
        <v>0.011289014616442</v>
      </c>
      <c r="G99" s="22">
        <v>0.619775704002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4</v>
      </c>
      <c r="P99">
        <v>0</v>
      </c>
      <c r="Q99" s="16">
        <v>0.4058</v>
      </c>
      <c r="R99" s="16">
        <v>382</v>
      </c>
      <c r="S99" s="17">
        <f t="shared" ref="S99:S130" si="12">R99/Q99/10000</f>
        <v>0.0941350418925579</v>
      </c>
      <c r="T99" s="19">
        <v>168305212.151354</v>
      </c>
      <c r="U99" s="16">
        <v>1.06419107506</v>
      </c>
      <c r="V99" s="16">
        <v>1.57182403252</v>
      </c>
      <c r="W99" s="16">
        <v>1.79682403252</v>
      </c>
      <c r="X99" s="16">
        <v>1.83429087755</v>
      </c>
      <c r="Y99" s="23">
        <f t="shared" ref="Y99:Y130" si="13">X99-U99</f>
        <v>0.77009980249</v>
      </c>
    </row>
    <row r="100" spans="1:25">
      <c r="A100" s="16">
        <v>99</v>
      </c>
      <c r="B100" s="20" t="s">
        <v>123</v>
      </c>
      <c r="C100" s="20">
        <v>1</v>
      </c>
      <c r="D100" s="20">
        <v>4</v>
      </c>
      <c r="E100" s="20">
        <f t="shared" si="11"/>
        <v>0.603144372620182</v>
      </c>
      <c r="F100" s="21">
        <f t="shared" si="7"/>
        <v>0.0017846895581982</v>
      </c>
      <c r="G100" s="22">
        <v>-0.330734801612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1</v>
      </c>
      <c r="N100">
        <v>0</v>
      </c>
      <c r="O100">
        <v>0</v>
      </c>
      <c r="P100">
        <v>0</v>
      </c>
      <c r="Q100" s="16">
        <v>0.2367</v>
      </c>
      <c r="R100" s="16">
        <v>163</v>
      </c>
      <c r="S100" s="17">
        <f t="shared" si="12"/>
        <v>0.0688635403464301</v>
      </c>
      <c r="T100" s="19">
        <v>224128615.625361</v>
      </c>
      <c r="U100" s="16">
        <v>0.93508420881</v>
      </c>
      <c r="V100" s="16">
        <v>0.96208420881</v>
      </c>
      <c r="W100" s="16">
        <v>0.97108420881</v>
      </c>
      <c r="X100" s="16">
        <v>1.05208420881</v>
      </c>
      <c r="Y100" s="23">
        <f t="shared" si="13"/>
        <v>0.117</v>
      </c>
    </row>
    <row r="101" spans="1:25">
      <c r="A101" s="16">
        <v>100</v>
      </c>
      <c r="B101" s="20" t="s">
        <v>124</v>
      </c>
      <c r="C101" s="20">
        <v>1</v>
      </c>
      <c r="D101" s="20">
        <v>4</v>
      </c>
      <c r="E101" s="20">
        <f t="shared" si="11"/>
        <v>0.603144372620182</v>
      </c>
      <c r="F101" s="21">
        <f t="shared" si="7"/>
        <v>0.0015036033266801</v>
      </c>
      <c r="G101" s="22">
        <v>-0.274812695247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 s="16">
        <v>0.3362</v>
      </c>
      <c r="R101" s="16">
        <v>187</v>
      </c>
      <c r="S101" s="17">
        <f t="shared" si="12"/>
        <v>0.0556216537775134</v>
      </c>
      <c r="T101" s="19">
        <v>266027610.409179</v>
      </c>
      <c r="U101" s="16">
        <v>2.15015683119</v>
      </c>
      <c r="V101" s="16">
        <v>2.39315683119</v>
      </c>
      <c r="W101" s="16">
        <v>2.69015683119</v>
      </c>
      <c r="X101" s="16">
        <v>2.96015683119</v>
      </c>
      <c r="Y101" s="23">
        <f t="shared" si="13"/>
        <v>0.81</v>
      </c>
    </row>
    <row r="102" spans="1:25">
      <c r="A102" s="16">
        <v>101</v>
      </c>
      <c r="B102" s="20" t="s">
        <v>125</v>
      </c>
      <c r="C102" s="20">
        <v>1</v>
      </c>
      <c r="D102" s="20">
        <v>2</v>
      </c>
      <c r="E102" s="20">
        <f t="shared" si="11"/>
        <v>0.303196057420489</v>
      </c>
      <c r="F102" s="21">
        <f t="shared" si="7"/>
        <v>0.00210476900918083</v>
      </c>
      <c r="G102" s="22">
        <v>-0.478828013144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16">
        <v>0.3241</v>
      </c>
      <c r="R102" s="16">
        <v>269</v>
      </c>
      <c r="S102" s="17">
        <f t="shared" si="12"/>
        <v>0.0829990743597655</v>
      </c>
      <c r="T102" s="19">
        <v>95022303.695853</v>
      </c>
      <c r="U102" s="16">
        <v>0.09</v>
      </c>
      <c r="V102" s="16">
        <v>0.225</v>
      </c>
      <c r="W102" s="16">
        <v>0.33289640313</v>
      </c>
      <c r="X102" s="16">
        <v>0.36889640313</v>
      </c>
      <c r="Y102" s="23">
        <f t="shared" si="13"/>
        <v>0.27889640313</v>
      </c>
    </row>
    <row r="103" spans="1:25">
      <c r="A103" s="16">
        <v>102</v>
      </c>
      <c r="B103" s="20" t="s">
        <v>126</v>
      </c>
      <c r="C103" s="20">
        <v>1</v>
      </c>
      <c r="D103" s="20">
        <v>6</v>
      </c>
      <c r="E103" s="20">
        <f t="shared" si="11"/>
        <v>0.77887447200274</v>
      </c>
      <c r="F103" s="21">
        <f t="shared" si="7"/>
        <v>0.00423949921454097</v>
      </c>
      <c r="G103" s="22">
        <v>-0.440227913923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</v>
      </c>
      <c r="O103">
        <v>0</v>
      </c>
      <c r="P103">
        <v>0</v>
      </c>
      <c r="Q103" s="16">
        <v>0.5346</v>
      </c>
      <c r="R103" s="16">
        <v>292</v>
      </c>
      <c r="S103" s="17">
        <f t="shared" si="12"/>
        <v>0.0546202768424991</v>
      </c>
      <c r="T103" s="19">
        <v>141526149.584383</v>
      </c>
      <c r="U103" s="16">
        <v>1.47691000942</v>
      </c>
      <c r="V103" s="16">
        <v>2.01691000942</v>
      </c>
      <c r="W103" s="16">
        <v>2.64691000942</v>
      </c>
      <c r="X103" s="16">
        <v>3.09691000942</v>
      </c>
      <c r="Y103" s="23">
        <f t="shared" si="13"/>
        <v>1.62</v>
      </c>
    </row>
    <row r="104" spans="1:25">
      <c r="A104" s="16">
        <v>103</v>
      </c>
      <c r="B104" s="20" t="s">
        <v>127</v>
      </c>
      <c r="C104" s="20">
        <v>1</v>
      </c>
      <c r="D104" s="20">
        <v>9</v>
      </c>
      <c r="E104" s="20">
        <f t="shared" si="11"/>
        <v>0.954724790979063</v>
      </c>
      <c r="F104" s="21">
        <f t="shared" si="7"/>
        <v>0.00674436255529144</v>
      </c>
      <c r="G104" s="22">
        <v>-0.391771042209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 s="16">
        <v>0.3298</v>
      </c>
      <c r="R104" s="16">
        <v>338</v>
      </c>
      <c r="S104" s="17">
        <f t="shared" si="12"/>
        <v>0.102486355366889</v>
      </c>
      <c r="T104" s="19">
        <v>133444783.346335</v>
      </c>
      <c r="U104" s="16">
        <v>0.52108999058</v>
      </c>
      <c r="V104" s="16">
        <v>0.89908999058</v>
      </c>
      <c r="W104" s="16">
        <v>1.28608999058</v>
      </c>
      <c r="X104" s="16">
        <v>1.39408999058</v>
      </c>
      <c r="Y104" s="23">
        <f t="shared" si="13"/>
        <v>0.873</v>
      </c>
    </row>
    <row r="105" spans="1:25">
      <c r="A105" s="16">
        <v>104</v>
      </c>
      <c r="B105" s="20" t="s">
        <v>128</v>
      </c>
      <c r="C105" s="20">
        <v>2</v>
      </c>
      <c r="D105" s="20">
        <v>15</v>
      </c>
      <c r="E105" s="20">
        <f t="shared" si="11"/>
        <v>1.17638069224327</v>
      </c>
      <c r="F105" s="21">
        <f t="shared" si="7"/>
        <v>0.0166093216988966</v>
      </c>
      <c r="G105" s="22">
        <v>0.386842967997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16">
        <v>0.6621</v>
      </c>
      <c r="R105" s="16">
        <v>1168</v>
      </c>
      <c r="S105" s="17">
        <f t="shared" si="12"/>
        <v>0.176408397523033</v>
      </c>
      <c r="T105" s="19">
        <v>90310731.960815</v>
      </c>
      <c r="U105" s="16">
        <v>0.918</v>
      </c>
      <c r="V105" s="16">
        <v>1.62946593313</v>
      </c>
      <c r="W105" s="16">
        <v>2.19650613798</v>
      </c>
      <c r="X105" s="16">
        <v>2.89850613798</v>
      </c>
      <c r="Y105" s="23">
        <f t="shared" si="13"/>
        <v>1.98050613798</v>
      </c>
    </row>
    <row r="106" spans="1:25">
      <c r="A106" s="16">
        <v>105</v>
      </c>
      <c r="B106" s="20" t="s">
        <v>129</v>
      </c>
      <c r="C106" s="20">
        <v>1</v>
      </c>
      <c r="D106" s="20">
        <v>0</v>
      </c>
      <c r="E106" s="20">
        <f t="shared" si="11"/>
        <v>-2</v>
      </c>
      <c r="F106" s="21">
        <f t="shared" si="7"/>
        <v>0</v>
      </c>
      <c r="G106" s="22">
        <v>-0.437382266626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16">
        <v>0.3177</v>
      </c>
      <c r="R106" s="16">
        <v>555</v>
      </c>
      <c r="S106" s="17">
        <f t="shared" si="12"/>
        <v>0.174693106704438</v>
      </c>
      <c r="T106" s="19">
        <v>99932347.243539</v>
      </c>
      <c r="U106" s="16">
        <v>1.845</v>
      </c>
      <c r="V106" s="16">
        <v>7.875</v>
      </c>
      <c r="W106" s="16">
        <v>9.333</v>
      </c>
      <c r="X106" s="16">
        <v>10.512</v>
      </c>
      <c r="Y106" s="23">
        <f t="shared" si="13"/>
        <v>8.667</v>
      </c>
    </row>
    <row r="107" spans="1:25">
      <c r="A107" s="16">
        <v>106</v>
      </c>
      <c r="B107" s="20" t="s">
        <v>130</v>
      </c>
      <c r="C107" s="20">
        <v>1</v>
      </c>
      <c r="D107" s="20">
        <v>1</v>
      </c>
      <c r="E107" s="20">
        <f t="shared" si="11"/>
        <v>0.00432137378264258</v>
      </c>
      <c r="F107" s="21">
        <f t="shared" si="7"/>
        <v>0.00098778488891943</v>
      </c>
      <c r="G107" s="22">
        <v>-0.338038102232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 s="16">
        <v>0.1368</v>
      </c>
      <c r="R107" s="16">
        <v>117</v>
      </c>
      <c r="S107" s="17">
        <f t="shared" si="12"/>
        <v>0.0855263157894737</v>
      </c>
      <c r="T107" s="19">
        <v>101236616.516166</v>
      </c>
      <c r="U107" s="16">
        <v>0.225</v>
      </c>
      <c r="V107" s="16">
        <v>0.288</v>
      </c>
      <c r="W107" s="16">
        <v>0.306</v>
      </c>
      <c r="X107" s="16">
        <v>0.306</v>
      </c>
      <c r="Y107" s="23">
        <f t="shared" si="13"/>
        <v>0.081</v>
      </c>
    </row>
    <row r="108" spans="1:25">
      <c r="A108" s="16">
        <v>107</v>
      </c>
      <c r="B108" s="20" t="s">
        <v>131</v>
      </c>
      <c r="C108" s="20">
        <v>1</v>
      </c>
      <c r="D108" s="20">
        <v>3</v>
      </c>
      <c r="E108" s="20">
        <f t="shared" si="11"/>
        <v>0.478566495593843</v>
      </c>
      <c r="F108" s="21">
        <f t="shared" si="7"/>
        <v>0.0024360137087089</v>
      </c>
      <c r="G108" s="22">
        <v>-0.388995600835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16">
        <v>0.1719</v>
      </c>
      <c r="R108" s="16">
        <v>180</v>
      </c>
      <c r="S108" s="17">
        <f t="shared" si="12"/>
        <v>0.104712041884817</v>
      </c>
      <c r="T108" s="19">
        <v>123152016.315623</v>
      </c>
      <c r="U108" s="16">
        <v>0.018</v>
      </c>
      <c r="V108" s="16">
        <v>0.639</v>
      </c>
      <c r="W108" s="16">
        <v>1.08</v>
      </c>
      <c r="X108" s="16">
        <v>1.278</v>
      </c>
      <c r="Y108" s="23">
        <f t="shared" si="13"/>
        <v>1.26</v>
      </c>
    </row>
    <row r="109" spans="1:25">
      <c r="A109" s="16">
        <v>108</v>
      </c>
      <c r="B109" s="20" t="s">
        <v>132</v>
      </c>
      <c r="C109" s="20">
        <v>1</v>
      </c>
      <c r="D109" s="20">
        <v>1</v>
      </c>
      <c r="E109" s="20">
        <f t="shared" si="11"/>
        <v>0.00432137378264258</v>
      </c>
      <c r="F109" s="21">
        <f t="shared" si="7"/>
        <v>0.000745947069254256</v>
      </c>
      <c r="G109" s="22">
        <v>-0.390581567334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16">
        <v>0.1631</v>
      </c>
      <c r="R109" s="16">
        <v>132</v>
      </c>
      <c r="S109" s="17">
        <f t="shared" si="12"/>
        <v>0.0809319435928878</v>
      </c>
      <c r="T109" s="19">
        <v>134057769.138999</v>
      </c>
      <c r="U109" s="16">
        <v>0.189</v>
      </c>
      <c r="V109" s="16">
        <v>0.477</v>
      </c>
      <c r="W109" s="16">
        <v>0.693</v>
      </c>
      <c r="X109" s="16">
        <v>0.72</v>
      </c>
      <c r="Y109" s="23">
        <f t="shared" si="13"/>
        <v>0.531</v>
      </c>
    </row>
    <row r="110" spans="1:25">
      <c r="A110" s="16">
        <v>109</v>
      </c>
      <c r="B110" s="20" t="s">
        <v>133</v>
      </c>
      <c r="C110" s="20">
        <v>2</v>
      </c>
      <c r="D110" s="20">
        <v>3</v>
      </c>
      <c r="E110" s="20">
        <f t="shared" si="11"/>
        <v>0.478566495593843</v>
      </c>
      <c r="F110" s="21">
        <f t="shared" si="7"/>
        <v>0.00482778492433523</v>
      </c>
      <c r="G110" s="22">
        <v>0.586278731105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16">
        <v>0.2479</v>
      </c>
      <c r="R110" s="16">
        <v>226</v>
      </c>
      <c r="S110" s="17">
        <f t="shared" si="12"/>
        <v>0.09116579265833</v>
      </c>
      <c r="T110" s="19">
        <v>62140299.268056</v>
      </c>
      <c r="U110" s="16">
        <v>0.225</v>
      </c>
      <c r="V110" s="16">
        <v>0.324</v>
      </c>
      <c r="W110" s="16">
        <v>0.78310881744</v>
      </c>
      <c r="X110" s="16">
        <v>0.88210881744</v>
      </c>
      <c r="Y110" s="23">
        <f t="shared" si="13"/>
        <v>0.65710881744</v>
      </c>
    </row>
    <row r="111" spans="1:25">
      <c r="A111" s="16">
        <v>110</v>
      </c>
      <c r="B111" s="20" t="s">
        <v>134</v>
      </c>
      <c r="C111" s="20">
        <v>1</v>
      </c>
      <c r="D111" s="20">
        <v>3</v>
      </c>
      <c r="E111" s="20">
        <f t="shared" si="11"/>
        <v>0.478566495593843</v>
      </c>
      <c r="F111" s="21">
        <f t="shared" si="7"/>
        <v>0.00386376042153522</v>
      </c>
      <c r="G111" s="22">
        <v>-0.439516502099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16">
        <v>0.1039</v>
      </c>
      <c r="R111" s="16">
        <v>73</v>
      </c>
      <c r="S111" s="17">
        <f t="shared" si="12"/>
        <v>0.0702598652550529</v>
      </c>
      <c r="T111" s="19">
        <v>77644565.726153</v>
      </c>
      <c r="U111" s="16">
        <v>0</v>
      </c>
      <c r="V111" s="16">
        <v>0.009</v>
      </c>
      <c r="W111" s="16">
        <v>0.018</v>
      </c>
      <c r="X111" s="16">
        <v>0.018</v>
      </c>
      <c r="Y111" s="23">
        <f t="shared" si="13"/>
        <v>0.018</v>
      </c>
    </row>
    <row r="112" spans="1:25">
      <c r="A112" s="16">
        <v>111</v>
      </c>
      <c r="B112" s="20" t="s">
        <v>135</v>
      </c>
      <c r="C112" s="20">
        <v>1</v>
      </c>
      <c r="D112" s="20">
        <v>3</v>
      </c>
      <c r="E112" s="20">
        <f t="shared" si="11"/>
        <v>0.478566495593843</v>
      </c>
      <c r="F112" s="21">
        <f t="shared" si="7"/>
        <v>0.00231541512975253</v>
      </c>
      <c r="G112" s="22">
        <v>-0.275927447644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16">
        <v>0.2412</v>
      </c>
      <c r="R112" s="16">
        <v>125</v>
      </c>
      <c r="S112" s="17">
        <f t="shared" si="12"/>
        <v>0.0518242122719735</v>
      </c>
      <c r="T112" s="19">
        <v>129566398.761532</v>
      </c>
      <c r="U112" s="16">
        <v>0.09106269442</v>
      </c>
      <c r="V112" s="16">
        <v>0.14506269442</v>
      </c>
      <c r="W112" s="16">
        <v>0.20806269442</v>
      </c>
      <c r="X112" s="16">
        <v>0.34306269442</v>
      </c>
      <c r="Y112" s="23">
        <f t="shared" si="13"/>
        <v>0.252</v>
      </c>
    </row>
    <row r="113" spans="1:25">
      <c r="A113" s="16">
        <v>112</v>
      </c>
      <c r="B113" s="20" t="s">
        <v>136</v>
      </c>
      <c r="C113" s="20">
        <v>3</v>
      </c>
      <c r="D113" s="20">
        <v>573</v>
      </c>
      <c r="E113" s="20">
        <f t="shared" si="11"/>
        <v>2.75816220121158</v>
      </c>
      <c r="F113" s="21">
        <f t="shared" si="7"/>
        <v>9.92868750688951</v>
      </c>
      <c r="G113" s="22">
        <v>1.02240240611</v>
      </c>
      <c r="H113">
        <v>53</v>
      </c>
      <c r="I113">
        <v>0</v>
      </c>
      <c r="J113">
        <v>124</v>
      </c>
      <c r="K113">
        <v>7</v>
      </c>
      <c r="L113">
        <v>1</v>
      </c>
      <c r="M113">
        <v>48</v>
      </c>
      <c r="N113">
        <v>0</v>
      </c>
      <c r="O113">
        <v>7</v>
      </c>
      <c r="P113">
        <v>0</v>
      </c>
      <c r="Q113" s="16">
        <v>10.381</v>
      </c>
      <c r="R113" s="16">
        <v>73323</v>
      </c>
      <c r="S113" s="17">
        <f t="shared" si="12"/>
        <v>0.70631923706772</v>
      </c>
      <c r="T113" s="16">
        <v>5771155.549033</v>
      </c>
      <c r="U113" s="16">
        <v>49.92754270657</v>
      </c>
      <c r="V113" s="16">
        <v>52.37039928607</v>
      </c>
      <c r="W113" s="16">
        <v>53.28860798805</v>
      </c>
      <c r="X113" s="16">
        <v>53.7206079889</v>
      </c>
      <c r="Y113" s="23">
        <f t="shared" si="13"/>
        <v>3.79306528233</v>
      </c>
    </row>
    <row r="114" spans="1:25">
      <c r="A114" s="16">
        <v>113</v>
      </c>
      <c r="B114" s="20" t="s">
        <v>137</v>
      </c>
      <c r="C114" s="20">
        <v>2</v>
      </c>
      <c r="D114" s="20">
        <v>4645</v>
      </c>
      <c r="E114" s="20">
        <f t="shared" si="11"/>
        <v>3.66698665330063</v>
      </c>
      <c r="F114" s="21">
        <f t="shared" si="7"/>
        <v>129.731171747258</v>
      </c>
      <c r="G114" s="22">
        <v>0.960747586032</v>
      </c>
      <c r="H114">
        <v>30</v>
      </c>
      <c r="I114">
        <v>1</v>
      </c>
      <c r="J114">
        <v>132</v>
      </c>
      <c r="K114">
        <v>2</v>
      </c>
      <c r="L114">
        <v>7</v>
      </c>
      <c r="M114">
        <v>32</v>
      </c>
      <c r="N114">
        <v>2</v>
      </c>
      <c r="O114">
        <v>13</v>
      </c>
      <c r="P114">
        <v>0</v>
      </c>
      <c r="Q114" s="16">
        <v>7.6359</v>
      </c>
      <c r="R114" s="16">
        <v>56624</v>
      </c>
      <c r="S114" s="17">
        <f t="shared" si="12"/>
        <v>0.741549784570254</v>
      </c>
      <c r="T114" s="16">
        <v>3580481.034311</v>
      </c>
      <c r="U114" s="16">
        <v>32.87742215193</v>
      </c>
      <c r="V114" s="16">
        <v>33.76780433465</v>
      </c>
      <c r="W114" s="16">
        <v>33.95716653144</v>
      </c>
      <c r="X114" s="16">
        <v>34.03672647903</v>
      </c>
      <c r="Y114" s="23">
        <f t="shared" si="13"/>
        <v>1.1593043271</v>
      </c>
    </row>
    <row r="115" spans="1:25">
      <c r="A115" s="16">
        <v>114</v>
      </c>
      <c r="B115" s="20" t="s">
        <v>138</v>
      </c>
      <c r="C115" s="20">
        <v>2</v>
      </c>
      <c r="D115" s="20">
        <v>3151</v>
      </c>
      <c r="E115" s="20">
        <f t="shared" si="11"/>
        <v>3.49844978144691</v>
      </c>
      <c r="F115" s="21">
        <f t="shared" si="7"/>
        <v>19.0170822743572</v>
      </c>
      <c r="G115" s="22">
        <v>0.980333630198</v>
      </c>
      <c r="H115">
        <v>42</v>
      </c>
      <c r="I115">
        <v>2</v>
      </c>
      <c r="J115">
        <v>95</v>
      </c>
      <c r="K115">
        <v>1</v>
      </c>
      <c r="L115">
        <v>20</v>
      </c>
      <c r="M115">
        <v>30</v>
      </c>
      <c r="N115">
        <v>0</v>
      </c>
      <c r="O115">
        <v>49</v>
      </c>
      <c r="P115">
        <v>0</v>
      </c>
      <c r="Q115" s="16">
        <v>12.0936</v>
      </c>
      <c r="R115" s="16">
        <v>93008</v>
      </c>
      <c r="S115" s="17">
        <f t="shared" si="12"/>
        <v>0.769067936759939</v>
      </c>
      <c r="T115" s="16">
        <v>16569313.60206</v>
      </c>
      <c r="U115" s="16">
        <v>77.06056252066</v>
      </c>
      <c r="V115" s="16">
        <v>90.62974648428</v>
      </c>
      <c r="W115" s="16">
        <v>95.45522579838</v>
      </c>
      <c r="X115" s="16">
        <v>97.34605731875</v>
      </c>
      <c r="Y115" s="23">
        <f t="shared" si="13"/>
        <v>20.28549479809</v>
      </c>
    </row>
    <row r="116" spans="1:25">
      <c r="A116" s="16">
        <v>115</v>
      </c>
      <c r="B116" s="20" t="s">
        <v>139</v>
      </c>
      <c r="C116" s="20">
        <v>2</v>
      </c>
      <c r="D116" s="20">
        <v>339</v>
      </c>
      <c r="E116" s="20">
        <f t="shared" si="11"/>
        <v>2.5302125090608</v>
      </c>
      <c r="F116" s="21">
        <f t="shared" si="7"/>
        <v>1.52425369247622</v>
      </c>
      <c r="G116" s="22">
        <v>2.16946520767</v>
      </c>
      <c r="H116">
        <v>56</v>
      </c>
      <c r="I116">
        <v>1</v>
      </c>
      <c r="J116">
        <v>21</v>
      </c>
      <c r="K116">
        <v>2</v>
      </c>
      <c r="L116">
        <v>16</v>
      </c>
      <c r="M116">
        <v>12</v>
      </c>
      <c r="N116">
        <v>1</v>
      </c>
      <c r="O116">
        <v>36</v>
      </c>
      <c r="P116">
        <v>2</v>
      </c>
      <c r="Q116" s="16">
        <v>12.5569</v>
      </c>
      <c r="R116" s="16">
        <v>81121</v>
      </c>
      <c r="S116" s="17">
        <f t="shared" si="12"/>
        <v>0.646027283804124</v>
      </c>
      <c r="T116" s="19">
        <v>22240392.243976</v>
      </c>
      <c r="U116" s="16">
        <v>86.20529572306</v>
      </c>
      <c r="V116" s="19">
        <v>107.89644464066</v>
      </c>
      <c r="W116" s="16">
        <v>121.729969865</v>
      </c>
      <c r="X116" s="16">
        <v>127.4671605517</v>
      </c>
      <c r="Y116" s="23">
        <f t="shared" si="13"/>
        <v>41.26186482864</v>
      </c>
    </row>
    <row r="117" spans="1:25">
      <c r="A117" s="16">
        <v>116</v>
      </c>
      <c r="B117" s="20" t="s">
        <v>140</v>
      </c>
      <c r="C117" s="20">
        <v>1</v>
      </c>
      <c r="D117" s="20">
        <v>58</v>
      </c>
      <c r="E117" s="20">
        <f t="shared" si="11"/>
        <v>1.7635028654676</v>
      </c>
      <c r="F117" s="21">
        <f t="shared" si="7"/>
        <v>0.159270937530261</v>
      </c>
      <c r="G117" s="22">
        <v>1.33868153844</v>
      </c>
      <c r="H117">
        <v>64</v>
      </c>
      <c r="I117">
        <v>0</v>
      </c>
      <c r="J117">
        <v>16</v>
      </c>
      <c r="K117">
        <v>1</v>
      </c>
      <c r="L117">
        <v>15</v>
      </c>
      <c r="M117">
        <v>6</v>
      </c>
      <c r="N117">
        <v>0</v>
      </c>
      <c r="O117">
        <v>49</v>
      </c>
      <c r="P117">
        <v>2</v>
      </c>
      <c r="Q117" s="16">
        <v>7.7278</v>
      </c>
      <c r="R117" s="16">
        <v>37375</v>
      </c>
      <c r="S117" s="17">
        <f t="shared" si="12"/>
        <v>0.483643469033878</v>
      </c>
      <c r="T117" s="19">
        <v>36415934.318827</v>
      </c>
      <c r="U117" s="19">
        <v>103.59477793176</v>
      </c>
      <c r="V117" s="19">
        <v>121.58626081554</v>
      </c>
      <c r="W117" s="19">
        <v>136.61683453684</v>
      </c>
      <c r="X117" s="19">
        <v>144.18441126185</v>
      </c>
      <c r="Y117" s="23">
        <f t="shared" si="13"/>
        <v>40.58963333009</v>
      </c>
    </row>
    <row r="118" spans="1:25">
      <c r="A118" s="16">
        <v>117</v>
      </c>
      <c r="B118" s="20" t="s">
        <v>141</v>
      </c>
      <c r="C118" s="20">
        <v>1</v>
      </c>
      <c r="D118" s="20">
        <v>9</v>
      </c>
      <c r="E118" s="20">
        <f t="shared" si="11"/>
        <v>0.954724790979063</v>
      </c>
      <c r="F118" s="21">
        <f t="shared" si="7"/>
        <v>0.0528548823766682</v>
      </c>
      <c r="G118" s="22">
        <v>0.789635948595</v>
      </c>
      <c r="H118">
        <v>29</v>
      </c>
      <c r="I118">
        <v>0</v>
      </c>
      <c r="J118">
        <v>4</v>
      </c>
      <c r="K118">
        <v>0</v>
      </c>
      <c r="L118">
        <v>5</v>
      </c>
      <c r="M118">
        <v>5</v>
      </c>
      <c r="N118">
        <v>2</v>
      </c>
      <c r="O118">
        <v>26</v>
      </c>
      <c r="P118">
        <v>1</v>
      </c>
      <c r="Q118" s="16">
        <v>5.5036</v>
      </c>
      <c r="R118" s="16">
        <v>27408</v>
      </c>
      <c r="S118" s="17">
        <f t="shared" si="12"/>
        <v>0.49800130823461</v>
      </c>
      <c r="T118" s="19">
        <v>17027755.233399</v>
      </c>
      <c r="U118" s="16">
        <v>57.61769854829</v>
      </c>
      <c r="V118" s="16">
        <v>63.87376975731</v>
      </c>
      <c r="W118" s="16">
        <v>73.36006459994</v>
      </c>
      <c r="X118" s="16">
        <v>75.9296694582</v>
      </c>
      <c r="Y118" s="23">
        <f t="shared" si="13"/>
        <v>18.31197090991</v>
      </c>
    </row>
    <row r="119" spans="1:25">
      <c r="A119" s="16">
        <v>118</v>
      </c>
      <c r="B119" s="20" t="s">
        <v>142</v>
      </c>
      <c r="C119" s="20">
        <v>1</v>
      </c>
      <c r="D119" s="20">
        <v>16</v>
      </c>
      <c r="E119" s="20">
        <f t="shared" si="11"/>
        <v>1.2043913319193</v>
      </c>
      <c r="F119" s="21">
        <f t="shared" si="7"/>
        <v>0.101043865325955</v>
      </c>
      <c r="G119" s="22">
        <v>0.920692231805</v>
      </c>
      <c r="H119">
        <v>26</v>
      </c>
      <c r="I119">
        <v>0</v>
      </c>
      <c r="J119">
        <v>2</v>
      </c>
      <c r="K119">
        <v>0</v>
      </c>
      <c r="L119">
        <v>4</v>
      </c>
      <c r="M119">
        <v>4</v>
      </c>
      <c r="N119">
        <v>1</v>
      </c>
      <c r="O119">
        <v>21</v>
      </c>
      <c r="P119">
        <v>0</v>
      </c>
      <c r="Q119" s="16">
        <v>4.0826</v>
      </c>
      <c r="R119" s="16">
        <v>17901</v>
      </c>
      <c r="S119" s="17">
        <f t="shared" si="12"/>
        <v>0.438470582471954</v>
      </c>
      <c r="T119" s="19">
        <v>15834706.984324</v>
      </c>
      <c r="U119" s="16">
        <v>62.44409992592</v>
      </c>
      <c r="V119" s="16">
        <v>70.87211976387</v>
      </c>
      <c r="W119" s="16">
        <v>77.25133927156</v>
      </c>
      <c r="X119" s="16">
        <v>79.08864138686</v>
      </c>
      <c r="Y119" s="23">
        <f t="shared" si="13"/>
        <v>16.64454146094</v>
      </c>
    </row>
    <row r="120" spans="1:25">
      <c r="A120" s="16">
        <v>119</v>
      </c>
      <c r="B120" s="20" t="s">
        <v>143</v>
      </c>
      <c r="C120" s="20">
        <v>1</v>
      </c>
      <c r="D120" s="20">
        <v>8</v>
      </c>
      <c r="E120" s="20">
        <f t="shared" si="11"/>
        <v>0.903632516084238</v>
      </c>
      <c r="F120" s="21">
        <f t="shared" si="7"/>
        <v>0.0581853069198026</v>
      </c>
      <c r="G120" s="22">
        <v>1.40095899923</v>
      </c>
      <c r="H120">
        <v>25</v>
      </c>
      <c r="I120">
        <v>0</v>
      </c>
      <c r="J120">
        <v>4</v>
      </c>
      <c r="K120">
        <v>1</v>
      </c>
      <c r="L120">
        <v>4</v>
      </c>
      <c r="M120">
        <v>1</v>
      </c>
      <c r="N120">
        <v>0</v>
      </c>
      <c r="O120">
        <v>10</v>
      </c>
      <c r="P120">
        <v>0</v>
      </c>
      <c r="Q120" s="16">
        <v>3.4013</v>
      </c>
      <c r="R120" s="16">
        <v>17238</v>
      </c>
      <c r="S120" s="17">
        <f t="shared" si="12"/>
        <v>0.506806221150736</v>
      </c>
      <c r="T120" s="19">
        <v>13749175.562529</v>
      </c>
      <c r="U120" s="16">
        <v>44.89147396364</v>
      </c>
      <c r="V120" s="16">
        <v>50.47298496026</v>
      </c>
      <c r="W120" s="16">
        <v>58.28581708153</v>
      </c>
      <c r="X120" s="16">
        <v>59.95146691143</v>
      </c>
      <c r="Y120" s="23">
        <f t="shared" si="13"/>
        <v>15.05999294779</v>
      </c>
    </row>
    <row r="121" spans="1:25">
      <c r="A121" s="16">
        <v>120</v>
      </c>
      <c r="B121" s="20" t="s">
        <v>144</v>
      </c>
      <c r="C121" s="20">
        <v>1</v>
      </c>
      <c r="D121" s="20">
        <v>29</v>
      </c>
      <c r="E121" s="20">
        <f t="shared" si="11"/>
        <v>1.46254772880266</v>
      </c>
      <c r="F121" s="21">
        <f t="shared" si="7"/>
        <v>0.0990518895371809</v>
      </c>
      <c r="G121" s="22">
        <v>1.21720933123</v>
      </c>
      <c r="H121">
        <v>40</v>
      </c>
      <c r="I121">
        <v>0</v>
      </c>
      <c r="J121">
        <v>10</v>
      </c>
      <c r="K121">
        <v>5</v>
      </c>
      <c r="L121">
        <v>4</v>
      </c>
      <c r="M121">
        <v>3</v>
      </c>
      <c r="N121">
        <v>0</v>
      </c>
      <c r="O121">
        <v>19</v>
      </c>
      <c r="P121">
        <v>1</v>
      </c>
      <c r="Q121" s="16">
        <v>5.2103</v>
      </c>
      <c r="R121" s="16">
        <v>19252</v>
      </c>
      <c r="S121" s="17">
        <f t="shared" si="12"/>
        <v>0.36949887722396</v>
      </c>
      <c r="T121" s="19">
        <v>29277583.835606</v>
      </c>
      <c r="U121" s="19">
        <v>101.62960238754</v>
      </c>
      <c r="V121" s="19">
        <v>113.27406016444</v>
      </c>
      <c r="W121" s="19">
        <v>120.86085265682</v>
      </c>
      <c r="X121" s="19">
        <v>123.39326796772</v>
      </c>
      <c r="Y121" s="23">
        <f t="shared" si="13"/>
        <v>21.76366558018</v>
      </c>
    </row>
    <row r="122" spans="1:25">
      <c r="A122" s="16">
        <v>121</v>
      </c>
      <c r="B122" s="20" t="s">
        <v>145</v>
      </c>
      <c r="C122" s="20">
        <v>2</v>
      </c>
      <c r="D122" s="20">
        <v>209</v>
      </c>
      <c r="E122" s="20">
        <f t="shared" si="11"/>
        <v>2.32016706525423</v>
      </c>
      <c r="F122" s="21">
        <f t="shared" si="7"/>
        <v>1.89149539888487</v>
      </c>
      <c r="G122" s="22">
        <v>0.866396095471</v>
      </c>
      <c r="H122">
        <v>86</v>
      </c>
      <c r="I122">
        <v>0</v>
      </c>
      <c r="J122">
        <v>109</v>
      </c>
      <c r="K122">
        <v>6</v>
      </c>
      <c r="L122">
        <v>11</v>
      </c>
      <c r="M122">
        <v>59</v>
      </c>
      <c r="N122">
        <v>4</v>
      </c>
      <c r="O122">
        <v>22</v>
      </c>
      <c r="P122">
        <v>0</v>
      </c>
      <c r="Q122" s="16">
        <v>10.2773</v>
      </c>
      <c r="R122" s="16">
        <v>65848</v>
      </c>
      <c r="S122" s="17">
        <f t="shared" si="12"/>
        <v>0.640713027740749</v>
      </c>
      <c r="T122" s="19">
        <v>11049458.546038</v>
      </c>
      <c r="U122" s="16">
        <v>77.84313932357</v>
      </c>
      <c r="V122" s="16">
        <v>82.11775485757</v>
      </c>
      <c r="W122" s="16">
        <v>84.38757823688</v>
      </c>
      <c r="X122" s="16">
        <v>84.90812561475</v>
      </c>
      <c r="Y122" s="23">
        <f t="shared" si="13"/>
        <v>7.06498629118001</v>
      </c>
    </row>
    <row r="123" spans="1:25">
      <c r="A123" s="16">
        <v>122</v>
      </c>
      <c r="B123" s="20" t="s">
        <v>146</v>
      </c>
      <c r="C123" s="20">
        <v>2</v>
      </c>
      <c r="D123" s="20">
        <v>190</v>
      </c>
      <c r="E123" s="20">
        <f t="shared" si="11"/>
        <v>2.27877645795564</v>
      </c>
      <c r="F123" s="21">
        <f t="shared" si="7"/>
        <v>1.84029676536496</v>
      </c>
      <c r="G123" s="22">
        <v>0.859938767934</v>
      </c>
      <c r="H123">
        <v>63</v>
      </c>
      <c r="I123">
        <v>0</v>
      </c>
      <c r="J123">
        <v>49</v>
      </c>
      <c r="K123">
        <v>3</v>
      </c>
      <c r="L123">
        <v>3</v>
      </c>
      <c r="M123">
        <v>28</v>
      </c>
      <c r="N123">
        <v>3</v>
      </c>
      <c r="O123">
        <v>11</v>
      </c>
      <c r="P123">
        <v>0</v>
      </c>
      <c r="Q123" s="16">
        <v>15.49</v>
      </c>
      <c r="R123" s="16">
        <v>101977</v>
      </c>
      <c r="S123" s="17">
        <f t="shared" si="12"/>
        <v>0.658340865074241</v>
      </c>
      <c r="T123" s="19">
        <v>10324421.776741</v>
      </c>
      <c r="U123" s="16">
        <v>63.80663934343</v>
      </c>
      <c r="V123" s="16">
        <v>72.57611535165</v>
      </c>
      <c r="W123" s="16">
        <v>76.49575630943</v>
      </c>
      <c r="X123" s="16">
        <v>77.31812986111</v>
      </c>
      <c r="Y123" s="23">
        <f t="shared" si="13"/>
        <v>13.51149051768</v>
      </c>
    </row>
    <row r="124" spans="1:25">
      <c r="A124" s="16">
        <v>123</v>
      </c>
      <c r="B124" s="20" t="s">
        <v>147</v>
      </c>
      <c r="C124" s="20">
        <v>2</v>
      </c>
      <c r="D124" s="20">
        <v>41</v>
      </c>
      <c r="E124" s="20">
        <f t="shared" si="11"/>
        <v>1.61288976928748</v>
      </c>
      <c r="F124" s="21">
        <f t="shared" si="7"/>
        <v>0.206088680091472</v>
      </c>
      <c r="G124" s="22">
        <v>0.666553202494</v>
      </c>
      <c r="H124">
        <v>48</v>
      </c>
      <c r="I124">
        <v>0</v>
      </c>
      <c r="J124">
        <v>9</v>
      </c>
      <c r="K124">
        <v>2</v>
      </c>
      <c r="L124">
        <v>6</v>
      </c>
      <c r="M124">
        <v>5</v>
      </c>
      <c r="N124">
        <v>0</v>
      </c>
      <c r="O124">
        <v>20</v>
      </c>
      <c r="P124">
        <v>0</v>
      </c>
      <c r="Q124" s="16">
        <v>5.3623</v>
      </c>
      <c r="R124" s="16">
        <v>20139</v>
      </c>
      <c r="S124" s="17">
        <f t="shared" si="12"/>
        <v>0.375566454692949</v>
      </c>
      <c r="T124" s="19">
        <v>19894348.385269</v>
      </c>
      <c r="U124" s="16">
        <v>59.52100361538</v>
      </c>
      <c r="V124" s="16">
        <v>70.71713845449</v>
      </c>
      <c r="W124" s="16">
        <v>77.94055314202</v>
      </c>
      <c r="X124" s="16">
        <v>79.66520224522</v>
      </c>
      <c r="Y124" s="23">
        <f t="shared" si="13"/>
        <v>20.14419862984</v>
      </c>
    </row>
    <row r="125" spans="1:25">
      <c r="A125" s="16">
        <v>124</v>
      </c>
      <c r="B125" s="20" t="s">
        <v>148</v>
      </c>
      <c r="C125" s="20">
        <v>3</v>
      </c>
      <c r="D125" s="20">
        <v>119</v>
      </c>
      <c r="E125" s="20">
        <f t="shared" si="11"/>
        <v>2.07558345519381</v>
      </c>
      <c r="F125" s="21">
        <f t="shared" si="7"/>
        <v>0.490524522496325</v>
      </c>
      <c r="G125" s="22">
        <v>0.888497830191</v>
      </c>
      <c r="H125">
        <v>69</v>
      </c>
      <c r="I125">
        <v>0</v>
      </c>
      <c r="J125">
        <v>24</v>
      </c>
      <c r="K125">
        <v>2</v>
      </c>
      <c r="L125">
        <v>12</v>
      </c>
      <c r="M125">
        <v>22</v>
      </c>
      <c r="N125">
        <v>1</v>
      </c>
      <c r="O125">
        <v>17</v>
      </c>
      <c r="P125">
        <v>1</v>
      </c>
      <c r="Q125" s="16">
        <v>9.3942</v>
      </c>
      <c r="R125" s="16">
        <v>44397</v>
      </c>
      <c r="S125" s="17">
        <f t="shared" si="12"/>
        <v>0.472600114964553</v>
      </c>
      <c r="T125" s="19">
        <v>24259745.342475</v>
      </c>
      <c r="U125" s="16">
        <v>93.6042094469</v>
      </c>
      <c r="V125" s="19">
        <v>109.68716911511</v>
      </c>
      <c r="W125" s="19">
        <v>123.21519249858</v>
      </c>
      <c r="X125" s="19">
        <v>127.16208122043</v>
      </c>
      <c r="Y125" s="23">
        <f t="shared" si="13"/>
        <v>33.55787177353</v>
      </c>
    </row>
    <row r="126" spans="1:25">
      <c r="A126" s="16">
        <v>125</v>
      </c>
      <c r="B126" s="20" t="s">
        <v>149</v>
      </c>
      <c r="C126" s="20">
        <v>2</v>
      </c>
      <c r="D126" s="20">
        <v>38</v>
      </c>
      <c r="E126" s="20">
        <f t="shared" si="11"/>
        <v>1.5798978696031</v>
      </c>
      <c r="F126" s="21">
        <f t="shared" si="7"/>
        <v>0.204960233571181</v>
      </c>
      <c r="G126" s="22">
        <v>1.16493970362</v>
      </c>
      <c r="H126">
        <v>37</v>
      </c>
      <c r="I126">
        <v>0</v>
      </c>
      <c r="J126">
        <v>27</v>
      </c>
      <c r="K126">
        <v>0</v>
      </c>
      <c r="L126">
        <v>11</v>
      </c>
      <c r="M126">
        <v>13</v>
      </c>
      <c r="N126">
        <v>1</v>
      </c>
      <c r="O126">
        <v>27</v>
      </c>
      <c r="P126">
        <v>0</v>
      </c>
      <c r="Q126" s="16">
        <v>5.9365</v>
      </c>
      <c r="R126" s="16">
        <v>32008</v>
      </c>
      <c r="S126" s="17">
        <f t="shared" si="12"/>
        <v>0.539172913332772</v>
      </c>
      <c r="T126" s="19">
        <v>18540181.838153</v>
      </c>
      <c r="U126" s="16">
        <v>60.94737168451</v>
      </c>
      <c r="V126" s="16">
        <v>69.03122561392</v>
      </c>
      <c r="W126" s="16">
        <v>82.94549188221</v>
      </c>
      <c r="X126" s="16">
        <v>88.99001463266</v>
      </c>
      <c r="Y126" s="23">
        <f t="shared" si="13"/>
        <v>28.04264294815</v>
      </c>
    </row>
    <row r="127" spans="1:25">
      <c r="A127" s="16">
        <v>126</v>
      </c>
      <c r="B127" s="20" t="s">
        <v>150</v>
      </c>
      <c r="C127" s="20">
        <v>2</v>
      </c>
      <c r="D127" s="20">
        <v>18</v>
      </c>
      <c r="E127" s="20">
        <f t="shared" si="11"/>
        <v>1.25551371281953</v>
      </c>
      <c r="F127" s="21">
        <f t="shared" si="7"/>
        <v>0.12498953598261</v>
      </c>
      <c r="G127" s="22">
        <v>0.922191580545</v>
      </c>
      <c r="H127">
        <v>38</v>
      </c>
      <c r="I127">
        <v>0</v>
      </c>
      <c r="J127">
        <v>6</v>
      </c>
      <c r="K127">
        <v>3</v>
      </c>
      <c r="L127">
        <v>4</v>
      </c>
      <c r="M127">
        <v>10</v>
      </c>
      <c r="N127">
        <v>1</v>
      </c>
      <c r="O127">
        <v>22</v>
      </c>
      <c r="P127">
        <v>0</v>
      </c>
      <c r="Q127" s="16">
        <v>4.2135</v>
      </c>
      <c r="R127" s="16">
        <v>16840</v>
      </c>
      <c r="S127" s="17">
        <f t="shared" si="12"/>
        <v>0.399667734662395</v>
      </c>
      <c r="T127" s="19">
        <v>14401205.555723</v>
      </c>
      <c r="U127" s="16">
        <v>47.182371436</v>
      </c>
      <c r="V127" s="16">
        <v>57.5734756671</v>
      </c>
      <c r="W127" s="16">
        <v>63.79423878477</v>
      </c>
      <c r="X127" s="16">
        <v>65.89848779931</v>
      </c>
      <c r="Y127" s="23">
        <f t="shared" si="13"/>
        <v>18.71611636331</v>
      </c>
    </row>
    <row r="128" spans="1:25">
      <c r="A128" s="16">
        <v>127</v>
      </c>
      <c r="B128" s="20" t="s">
        <v>151</v>
      </c>
      <c r="C128" s="20">
        <v>1</v>
      </c>
      <c r="D128" s="20">
        <v>90</v>
      </c>
      <c r="E128" s="20">
        <f t="shared" si="11"/>
        <v>1.95429076170113</v>
      </c>
      <c r="F128" s="21">
        <f t="shared" si="7"/>
        <v>0.16524475031426</v>
      </c>
      <c r="G128" s="22">
        <v>0.109675691392</v>
      </c>
      <c r="H128">
        <v>116</v>
      </c>
      <c r="I128">
        <v>1</v>
      </c>
      <c r="J128">
        <v>43</v>
      </c>
      <c r="K128">
        <v>1</v>
      </c>
      <c r="L128">
        <v>15</v>
      </c>
      <c r="M128">
        <v>33</v>
      </c>
      <c r="N128">
        <v>3</v>
      </c>
      <c r="O128">
        <v>99</v>
      </c>
      <c r="P128">
        <v>0</v>
      </c>
      <c r="Q128" s="16">
        <v>17.4248</v>
      </c>
      <c r="R128" s="16">
        <v>65328</v>
      </c>
      <c r="S128" s="17">
        <f t="shared" si="12"/>
        <v>0.374913915798173</v>
      </c>
      <c r="T128" s="16">
        <f>52303075.389835+2161589.798523</f>
        <v>54464665.188358</v>
      </c>
      <c r="U128" s="19">
        <v>199.66308085337</v>
      </c>
      <c r="V128" s="19">
        <v>219.83640757544</v>
      </c>
      <c r="W128" s="16">
        <v>238.29654237421</v>
      </c>
      <c r="X128" s="16">
        <v>244.74795802045</v>
      </c>
      <c r="Y128" s="23">
        <f t="shared" si="13"/>
        <v>45.08487716708</v>
      </c>
    </row>
    <row r="129" spans="1:25">
      <c r="A129" s="16">
        <v>128</v>
      </c>
      <c r="B129" s="20" t="s">
        <v>152</v>
      </c>
      <c r="C129" s="20">
        <v>2</v>
      </c>
      <c r="D129" s="20">
        <v>84</v>
      </c>
      <c r="E129" s="20">
        <f t="shared" si="11"/>
        <v>1.92433098470868</v>
      </c>
      <c r="F129" s="21">
        <f t="shared" si="7"/>
        <v>0.152716784642183</v>
      </c>
      <c r="G129" s="22">
        <v>-0.48164616442</v>
      </c>
      <c r="H129">
        <v>74</v>
      </c>
      <c r="I129">
        <v>0</v>
      </c>
      <c r="J129">
        <v>25</v>
      </c>
      <c r="K129">
        <v>1</v>
      </c>
      <c r="L129">
        <v>9</v>
      </c>
      <c r="M129">
        <v>16</v>
      </c>
      <c r="N129">
        <v>1</v>
      </c>
      <c r="O129">
        <v>71</v>
      </c>
      <c r="P129">
        <v>0</v>
      </c>
      <c r="Q129" s="16">
        <v>10.6633</v>
      </c>
      <c r="R129" s="16">
        <v>40209</v>
      </c>
      <c r="S129" s="17">
        <f t="shared" si="12"/>
        <v>0.37707839036696</v>
      </c>
      <c r="T129" s="19">
        <v>55003777.218603</v>
      </c>
      <c r="U129" s="19">
        <v>191.12020381673</v>
      </c>
      <c r="V129" s="19">
        <v>208.96573456683</v>
      </c>
      <c r="W129" s="19">
        <v>233.46993758759</v>
      </c>
      <c r="X129" s="19">
        <v>239.49549823928</v>
      </c>
      <c r="Y129" s="23">
        <f t="shared" si="13"/>
        <v>48.37529442255</v>
      </c>
    </row>
    <row r="130" spans="1:25">
      <c r="A130" s="16">
        <v>129</v>
      </c>
      <c r="B130" s="20" t="s">
        <v>153</v>
      </c>
      <c r="C130" s="20">
        <v>2</v>
      </c>
      <c r="D130" s="20">
        <v>510</v>
      </c>
      <c r="E130" s="20">
        <f t="shared" si="11"/>
        <v>2.70757869159253</v>
      </c>
      <c r="F130" s="21">
        <f t="shared" ref="F130:F169" si="14">D130/T130*100000</f>
        <v>1.24840811913758</v>
      </c>
      <c r="G130" s="22">
        <v>0.880660392738</v>
      </c>
      <c r="H130">
        <v>86</v>
      </c>
      <c r="I130">
        <v>2</v>
      </c>
      <c r="J130">
        <v>204</v>
      </c>
      <c r="K130">
        <v>3</v>
      </c>
      <c r="L130">
        <v>28</v>
      </c>
      <c r="M130">
        <v>37</v>
      </c>
      <c r="N130">
        <v>4</v>
      </c>
      <c r="O130">
        <v>261</v>
      </c>
      <c r="P130">
        <v>0</v>
      </c>
      <c r="Q130" s="16">
        <v>30.4033</v>
      </c>
      <c r="R130" s="16">
        <v>237359</v>
      </c>
      <c r="S130" s="17">
        <f t="shared" si="12"/>
        <v>0.780701437015061</v>
      </c>
      <c r="T130" s="19">
        <v>40852025.245744</v>
      </c>
      <c r="U130" s="19">
        <v>187.89571773991</v>
      </c>
      <c r="V130" s="19">
        <v>217.91843010987</v>
      </c>
      <c r="W130" s="19">
        <v>242.28180387885</v>
      </c>
      <c r="X130" s="16">
        <v>248.6718770048</v>
      </c>
      <c r="Y130" s="23">
        <f t="shared" si="13"/>
        <v>60.77615926489</v>
      </c>
    </row>
    <row r="131" spans="1:25">
      <c r="A131" s="16">
        <v>130</v>
      </c>
      <c r="B131" s="20" t="s">
        <v>154</v>
      </c>
      <c r="C131" s="20">
        <v>1</v>
      </c>
      <c r="D131" s="20">
        <v>62</v>
      </c>
      <c r="E131" s="20">
        <f t="shared" ref="E131:E169" si="15">LOG(D131+0.01)</f>
        <v>1.79246173134695</v>
      </c>
      <c r="F131" s="21">
        <f t="shared" si="14"/>
        <v>0.100985987224019</v>
      </c>
      <c r="G131" s="22">
        <v>-0.488412159844</v>
      </c>
      <c r="H131">
        <v>61</v>
      </c>
      <c r="I131">
        <v>1</v>
      </c>
      <c r="J131">
        <v>23</v>
      </c>
      <c r="K131">
        <v>5</v>
      </c>
      <c r="L131">
        <v>3</v>
      </c>
      <c r="M131">
        <v>14</v>
      </c>
      <c r="N131">
        <v>1</v>
      </c>
      <c r="O131">
        <v>50</v>
      </c>
      <c r="P131">
        <v>0</v>
      </c>
      <c r="Q131" s="16">
        <v>13.6212</v>
      </c>
      <c r="R131" s="16">
        <v>51323</v>
      </c>
      <c r="S131" s="17">
        <f t="shared" ref="S131:S169" si="16">R131/Q131/10000</f>
        <v>0.376787654538514</v>
      </c>
      <c r="T131" s="16">
        <v>61394656.53038</v>
      </c>
      <c r="U131" s="19">
        <v>190.55466128654</v>
      </c>
      <c r="V131" s="19">
        <v>212.33573054019</v>
      </c>
      <c r="W131" s="19">
        <v>235.31680254749</v>
      </c>
      <c r="X131" s="16">
        <v>247.7199197742</v>
      </c>
      <c r="Y131" s="23">
        <f t="shared" ref="Y131:Y169" si="17">X131-U131</f>
        <v>57.16525848766</v>
      </c>
    </row>
    <row r="132" spans="1:25">
      <c r="A132" s="16">
        <v>131</v>
      </c>
      <c r="B132" s="20" t="s">
        <v>155</v>
      </c>
      <c r="C132" s="20">
        <v>1</v>
      </c>
      <c r="D132" s="20">
        <v>27</v>
      </c>
      <c r="E132" s="20">
        <f t="shared" si="15"/>
        <v>1.43152458418745</v>
      </c>
      <c r="F132" s="21">
        <f t="shared" si="14"/>
        <v>0.0786332549768174</v>
      </c>
      <c r="G132" s="22">
        <v>-0.388282839806</v>
      </c>
      <c r="H132">
        <v>42</v>
      </c>
      <c r="I132">
        <v>1</v>
      </c>
      <c r="J132">
        <v>14</v>
      </c>
      <c r="K132">
        <v>1</v>
      </c>
      <c r="L132">
        <v>10</v>
      </c>
      <c r="M132">
        <v>5</v>
      </c>
      <c r="N132">
        <v>0</v>
      </c>
      <c r="O132">
        <v>26</v>
      </c>
      <c r="P132">
        <v>0</v>
      </c>
      <c r="Q132" s="16">
        <v>7.9467</v>
      </c>
      <c r="R132" s="16">
        <v>44563</v>
      </c>
      <c r="S132" s="17">
        <f t="shared" si="16"/>
        <v>0.560773654472926</v>
      </c>
      <c r="T132" s="19">
        <v>34336617.513748</v>
      </c>
      <c r="U132" s="16">
        <v>92.06062600498</v>
      </c>
      <c r="V132" s="19">
        <v>105.34243892574</v>
      </c>
      <c r="W132" s="16">
        <v>115.8699822486</v>
      </c>
      <c r="X132" s="19">
        <v>119.13435540049</v>
      </c>
      <c r="Y132" s="23">
        <f t="shared" si="17"/>
        <v>27.07372939551</v>
      </c>
    </row>
    <row r="133" spans="1:25">
      <c r="A133" s="16">
        <v>132</v>
      </c>
      <c r="B133" s="20" t="s">
        <v>156</v>
      </c>
      <c r="C133" s="20">
        <v>1</v>
      </c>
      <c r="D133" s="20">
        <v>41</v>
      </c>
      <c r="E133" s="20">
        <f t="shared" si="15"/>
        <v>1.61288976928748</v>
      </c>
      <c r="F133" s="21">
        <f t="shared" si="14"/>
        <v>0.0695437408327675</v>
      </c>
      <c r="G133" s="22">
        <v>-0.313662192114</v>
      </c>
      <c r="H133">
        <v>46</v>
      </c>
      <c r="I133">
        <v>1</v>
      </c>
      <c r="J133">
        <v>15</v>
      </c>
      <c r="K133">
        <v>5</v>
      </c>
      <c r="L133">
        <v>4</v>
      </c>
      <c r="M133">
        <v>14</v>
      </c>
      <c r="N133">
        <v>0</v>
      </c>
      <c r="O133">
        <v>13</v>
      </c>
      <c r="P133">
        <v>1</v>
      </c>
      <c r="Q133" s="16">
        <v>7.5986</v>
      </c>
      <c r="R133" s="16">
        <v>35219</v>
      </c>
      <c r="S133" s="17">
        <f t="shared" si="16"/>
        <v>0.463493275076988</v>
      </c>
      <c r="T133" s="19">
        <v>58955701.130017</v>
      </c>
      <c r="U133" s="19">
        <v>130.39040902989</v>
      </c>
      <c r="V133" s="19">
        <v>149.42514876054</v>
      </c>
      <c r="W133" s="19">
        <v>163.92080288351</v>
      </c>
      <c r="X133" s="19">
        <v>169.10693163855</v>
      </c>
      <c r="Y133" s="23">
        <f t="shared" si="17"/>
        <v>38.71652260866</v>
      </c>
    </row>
    <row r="134" spans="1:25">
      <c r="A134" s="16">
        <v>133</v>
      </c>
      <c r="B134" s="20" t="s">
        <v>157</v>
      </c>
      <c r="C134" s="20">
        <v>1</v>
      </c>
      <c r="D134" s="20">
        <v>848</v>
      </c>
      <c r="E134" s="20">
        <f t="shared" si="15"/>
        <v>2.92840097362371</v>
      </c>
      <c r="F134" s="21">
        <f t="shared" si="14"/>
        <v>3.3403350381642</v>
      </c>
      <c r="G134" s="22">
        <v>-0.293216717029</v>
      </c>
      <c r="H134">
        <v>81</v>
      </c>
      <c r="I134">
        <v>0</v>
      </c>
      <c r="J134">
        <v>36</v>
      </c>
      <c r="K134">
        <v>3</v>
      </c>
      <c r="L134">
        <v>16</v>
      </c>
      <c r="M134">
        <v>41</v>
      </c>
      <c r="N134">
        <v>6</v>
      </c>
      <c r="O134">
        <v>83</v>
      </c>
      <c r="P134">
        <v>3</v>
      </c>
      <c r="Q134" s="16">
        <v>22.8625</v>
      </c>
      <c r="R134" s="16">
        <v>153270</v>
      </c>
      <c r="S134" s="17">
        <f t="shared" si="16"/>
        <v>0.67039912520503</v>
      </c>
      <c r="T134" s="19">
        <v>25386674.998507</v>
      </c>
      <c r="U134" s="19">
        <v>120.85036711765</v>
      </c>
      <c r="V134" s="19">
        <v>148.97377778263</v>
      </c>
      <c r="W134" s="19">
        <v>163.51111324939</v>
      </c>
      <c r="X134" s="19">
        <v>168.47754106071</v>
      </c>
      <c r="Y134" s="23">
        <f t="shared" si="17"/>
        <v>47.62717394306</v>
      </c>
    </row>
    <row r="135" spans="1:25">
      <c r="A135" s="16">
        <v>134</v>
      </c>
      <c r="B135" s="20" t="s">
        <v>158</v>
      </c>
      <c r="C135" s="20">
        <v>1</v>
      </c>
      <c r="D135" s="20">
        <v>29</v>
      </c>
      <c r="E135" s="20">
        <f t="shared" si="15"/>
        <v>1.46254772880266</v>
      </c>
      <c r="F135" s="21">
        <f t="shared" si="14"/>
        <v>0.0616158504870078</v>
      </c>
      <c r="G135" s="22">
        <v>-0.58287301984</v>
      </c>
      <c r="H135">
        <v>54</v>
      </c>
      <c r="I135">
        <v>1</v>
      </c>
      <c r="J135">
        <v>20</v>
      </c>
      <c r="K135">
        <v>1</v>
      </c>
      <c r="L135">
        <v>6</v>
      </c>
      <c r="M135">
        <v>16</v>
      </c>
      <c r="N135">
        <v>1</v>
      </c>
      <c r="O135">
        <v>62</v>
      </c>
      <c r="P135">
        <v>0</v>
      </c>
      <c r="Q135" s="16">
        <v>9.3604</v>
      </c>
      <c r="R135" s="16">
        <v>41414</v>
      </c>
      <c r="S135" s="17">
        <f t="shared" si="16"/>
        <v>0.442438357335157</v>
      </c>
      <c r="T135" s="19">
        <v>47065811.428043</v>
      </c>
      <c r="U135" s="19">
        <v>124.11077425325</v>
      </c>
      <c r="V135" s="19">
        <v>145.56892160888</v>
      </c>
      <c r="W135" s="19">
        <v>166.42082806385</v>
      </c>
      <c r="X135" s="19">
        <v>170.33635028124</v>
      </c>
      <c r="Y135" s="23">
        <f t="shared" si="17"/>
        <v>46.22557602799</v>
      </c>
    </row>
    <row r="136" spans="1:25">
      <c r="A136" s="16">
        <v>135</v>
      </c>
      <c r="B136" s="20" t="s">
        <v>159</v>
      </c>
      <c r="C136" s="20">
        <v>1</v>
      </c>
      <c r="D136" s="20">
        <v>103</v>
      </c>
      <c r="E136" s="20">
        <f t="shared" si="15"/>
        <v>2.01287938717129</v>
      </c>
      <c r="F136" s="21">
        <f t="shared" si="14"/>
        <v>0.161565946010277</v>
      </c>
      <c r="G136" s="22">
        <v>1.01950384127</v>
      </c>
      <c r="H136">
        <v>33</v>
      </c>
      <c r="I136">
        <v>0</v>
      </c>
      <c r="J136">
        <v>44</v>
      </c>
      <c r="K136">
        <v>3</v>
      </c>
      <c r="L136">
        <v>25</v>
      </c>
      <c r="M136">
        <v>22</v>
      </c>
      <c r="N136">
        <v>0</v>
      </c>
      <c r="O136">
        <v>68</v>
      </c>
      <c r="P136">
        <v>0</v>
      </c>
      <c r="Q136" s="16">
        <v>11.252</v>
      </c>
      <c r="R136" s="16">
        <v>53182</v>
      </c>
      <c r="S136" s="17">
        <f t="shared" si="16"/>
        <v>0.472644863135443</v>
      </c>
      <c r="T136" s="19">
        <v>63751058.031405</v>
      </c>
      <c r="U136" s="19">
        <v>175.40626035475</v>
      </c>
      <c r="V136" s="19">
        <v>197.16886279815</v>
      </c>
      <c r="W136" s="19">
        <v>211.08992080101</v>
      </c>
      <c r="X136" s="19">
        <v>217.46602945423</v>
      </c>
      <c r="Y136" s="23">
        <f t="shared" si="17"/>
        <v>42.05976909948</v>
      </c>
    </row>
    <row r="137" spans="1:25">
      <c r="A137" s="16">
        <v>136</v>
      </c>
      <c r="B137" s="20" t="s">
        <v>160</v>
      </c>
      <c r="C137" s="20">
        <v>2</v>
      </c>
      <c r="D137" s="20">
        <v>71</v>
      </c>
      <c r="E137" s="20">
        <f t="shared" si="15"/>
        <v>1.85131951264875</v>
      </c>
      <c r="F137" s="21">
        <f t="shared" si="14"/>
        <v>0.144893492676944</v>
      </c>
      <c r="G137" s="22">
        <v>1.05816769958</v>
      </c>
      <c r="H137">
        <v>56</v>
      </c>
      <c r="I137">
        <v>0</v>
      </c>
      <c r="J137">
        <v>33</v>
      </c>
      <c r="K137">
        <v>0</v>
      </c>
      <c r="L137">
        <v>9</v>
      </c>
      <c r="M137">
        <v>17</v>
      </c>
      <c r="N137">
        <v>1</v>
      </c>
      <c r="O137">
        <v>47</v>
      </c>
      <c r="P137">
        <v>0</v>
      </c>
      <c r="Q137" s="16">
        <v>9.1988</v>
      </c>
      <c r="R137" s="16">
        <v>41349</v>
      </c>
      <c r="S137" s="17">
        <f t="shared" si="16"/>
        <v>0.44950428316737</v>
      </c>
      <c r="T137" s="19">
        <v>49001510.480738</v>
      </c>
      <c r="U137" s="19">
        <v>159.89826706059</v>
      </c>
      <c r="V137" s="19">
        <v>184.33240995242</v>
      </c>
      <c r="W137" s="16">
        <v>204.0625094384</v>
      </c>
      <c r="X137" s="19">
        <v>212.56605420538</v>
      </c>
      <c r="Y137" s="23">
        <f t="shared" si="17"/>
        <v>52.66778714479</v>
      </c>
    </row>
    <row r="138" spans="1:25">
      <c r="A138" s="16">
        <v>137</v>
      </c>
      <c r="B138" s="20" t="s">
        <v>161</v>
      </c>
      <c r="C138" s="20">
        <v>1</v>
      </c>
      <c r="D138" s="20">
        <v>40</v>
      </c>
      <c r="E138" s="20">
        <f t="shared" si="15"/>
        <v>1.602168551379</v>
      </c>
      <c r="F138" s="21">
        <f t="shared" si="14"/>
        <v>0.134556266834183</v>
      </c>
      <c r="G138" s="22">
        <v>0.430474316843</v>
      </c>
      <c r="H138">
        <v>49</v>
      </c>
      <c r="I138">
        <v>1</v>
      </c>
      <c r="J138">
        <v>18</v>
      </c>
      <c r="K138">
        <v>1</v>
      </c>
      <c r="L138">
        <v>10</v>
      </c>
      <c r="M138">
        <v>12</v>
      </c>
      <c r="N138">
        <v>0</v>
      </c>
      <c r="O138">
        <v>13</v>
      </c>
      <c r="P138">
        <v>0</v>
      </c>
      <c r="Q138" s="16">
        <v>7.0908</v>
      </c>
      <c r="R138" s="16">
        <v>36313</v>
      </c>
      <c r="S138" s="17">
        <f t="shared" si="16"/>
        <v>0.512114288937779</v>
      </c>
      <c r="T138" s="19">
        <v>29727340.792899</v>
      </c>
      <c r="U138" s="19">
        <v>105.98985108772</v>
      </c>
      <c r="V138" s="16">
        <v>120.4143930259</v>
      </c>
      <c r="W138" s="19">
        <v>129.93402514646</v>
      </c>
      <c r="X138" s="19">
        <v>132.77821286977</v>
      </c>
      <c r="Y138" s="23">
        <f t="shared" si="17"/>
        <v>26.78836178205</v>
      </c>
    </row>
    <row r="139" spans="1:25">
      <c r="A139" s="16">
        <v>138</v>
      </c>
      <c r="B139" s="20" t="s">
        <v>162</v>
      </c>
      <c r="C139" s="20">
        <v>1</v>
      </c>
      <c r="D139" s="20">
        <v>34</v>
      </c>
      <c r="E139" s="20">
        <f t="shared" si="15"/>
        <v>1.53160663193272</v>
      </c>
      <c r="F139" s="21">
        <f t="shared" si="14"/>
        <v>0.177846641173455</v>
      </c>
      <c r="G139" s="22">
        <v>-0.506611873481</v>
      </c>
      <c r="H139">
        <v>24</v>
      </c>
      <c r="I139">
        <v>0</v>
      </c>
      <c r="J139">
        <v>0</v>
      </c>
      <c r="K139">
        <v>1</v>
      </c>
      <c r="L139">
        <v>2</v>
      </c>
      <c r="M139">
        <v>4</v>
      </c>
      <c r="N139">
        <v>0</v>
      </c>
      <c r="O139">
        <v>3</v>
      </c>
      <c r="P139">
        <v>0</v>
      </c>
      <c r="Q139" s="16">
        <v>2.012</v>
      </c>
      <c r="R139" s="16">
        <v>8133</v>
      </c>
      <c r="S139" s="17">
        <f t="shared" si="16"/>
        <v>0.404224652087475</v>
      </c>
      <c r="T139" s="19">
        <v>19117594.673514</v>
      </c>
      <c r="U139" s="16">
        <v>19.56575581458</v>
      </c>
      <c r="V139" s="16">
        <v>25.23691875863</v>
      </c>
      <c r="W139" s="16">
        <v>29.69837002549</v>
      </c>
      <c r="X139" s="16">
        <v>32.10827565936</v>
      </c>
      <c r="Y139" s="23">
        <f t="shared" si="17"/>
        <v>12.54251984478</v>
      </c>
    </row>
    <row r="140" spans="1:25">
      <c r="A140" s="16">
        <v>139</v>
      </c>
      <c r="B140" s="20" t="s">
        <v>163</v>
      </c>
      <c r="C140" s="20">
        <v>1</v>
      </c>
      <c r="D140" s="20">
        <v>8</v>
      </c>
      <c r="E140" s="20">
        <f t="shared" si="15"/>
        <v>0.903632516084238</v>
      </c>
      <c r="F140" s="21">
        <f t="shared" si="14"/>
        <v>0.0936046668090209</v>
      </c>
      <c r="G140" s="22">
        <v>1.17408740289</v>
      </c>
      <c r="H140">
        <v>10</v>
      </c>
      <c r="I140">
        <v>0</v>
      </c>
      <c r="J140">
        <v>3</v>
      </c>
      <c r="K140">
        <v>2</v>
      </c>
      <c r="L140">
        <v>1</v>
      </c>
      <c r="M140">
        <v>1</v>
      </c>
      <c r="N140">
        <v>0</v>
      </c>
      <c r="O140">
        <v>21</v>
      </c>
      <c r="P140">
        <v>0</v>
      </c>
      <c r="Q140" s="16">
        <v>1.3897</v>
      </c>
      <c r="R140" s="16">
        <v>12713</v>
      </c>
      <c r="S140" s="17">
        <f t="shared" si="16"/>
        <v>0.914801755774628</v>
      </c>
      <c r="T140" s="16">
        <v>8546582.422351</v>
      </c>
      <c r="U140" s="16">
        <v>11.6782328237</v>
      </c>
      <c r="V140" s="16">
        <v>19.02393334127</v>
      </c>
      <c r="W140" s="16">
        <v>24.63482150645</v>
      </c>
      <c r="X140" s="16">
        <v>26.70603015491</v>
      </c>
      <c r="Y140" s="23">
        <f t="shared" si="17"/>
        <v>15.02779733121</v>
      </c>
    </row>
    <row r="141" ht="24" spans="1:25">
      <c r="A141" s="16">
        <v>140</v>
      </c>
      <c r="B141" s="20" t="s">
        <v>164</v>
      </c>
      <c r="C141" s="20">
        <v>2</v>
      </c>
      <c r="D141" s="20">
        <v>27</v>
      </c>
      <c r="E141" s="20">
        <f t="shared" si="15"/>
        <v>1.43152458418745</v>
      </c>
      <c r="F141" s="21">
        <f t="shared" si="14"/>
        <v>0.169068195170478</v>
      </c>
      <c r="G141" s="22">
        <v>0.972835978494</v>
      </c>
      <c r="H141">
        <v>36</v>
      </c>
      <c r="I141">
        <v>0</v>
      </c>
      <c r="J141">
        <v>7</v>
      </c>
      <c r="K141">
        <v>0</v>
      </c>
      <c r="L141">
        <v>17</v>
      </c>
      <c r="M141">
        <v>4</v>
      </c>
      <c r="N141">
        <v>3</v>
      </c>
      <c r="O141">
        <v>19</v>
      </c>
      <c r="P141">
        <v>0</v>
      </c>
      <c r="Q141" s="16">
        <v>4.5054</v>
      </c>
      <c r="R141" s="16">
        <v>44898</v>
      </c>
      <c r="S141" s="17">
        <f t="shared" si="16"/>
        <v>0.996537488347316</v>
      </c>
      <c r="T141" s="19">
        <v>15969887.164629</v>
      </c>
      <c r="U141" s="16">
        <v>38.09107512592</v>
      </c>
      <c r="V141" s="16">
        <v>71.32601230213</v>
      </c>
      <c r="W141" s="16">
        <v>94.08135568262</v>
      </c>
      <c r="X141" s="16">
        <v>98.51864799339</v>
      </c>
      <c r="Y141" s="23">
        <f t="shared" si="17"/>
        <v>60.42757286747</v>
      </c>
    </row>
    <row r="142" ht="24" spans="1:25">
      <c r="A142" s="16">
        <v>141</v>
      </c>
      <c r="B142" s="20" t="s">
        <v>165</v>
      </c>
      <c r="C142" s="20">
        <v>1</v>
      </c>
      <c r="D142" s="20">
        <v>3</v>
      </c>
      <c r="E142" s="20">
        <f t="shared" si="15"/>
        <v>0.478566495593843</v>
      </c>
      <c r="F142" s="21">
        <f t="shared" si="14"/>
        <v>0.0894013795340487</v>
      </c>
      <c r="G142" s="22">
        <v>-0.490337941702</v>
      </c>
      <c r="H142">
        <v>5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2</v>
      </c>
      <c r="P142">
        <v>0</v>
      </c>
      <c r="Q142" s="16">
        <v>0.1518</v>
      </c>
      <c r="R142" s="16">
        <v>1459</v>
      </c>
      <c r="S142" s="17">
        <f t="shared" si="16"/>
        <v>0.961133069828722</v>
      </c>
      <c r="T142" s="16">
        <v>3355652.916807</v>
      </c>
      <c r="U142" s="16">
        <v>0.450798375</v>
      </c>
      <c r="V142" s="16">
        <v>4.82449681196</v>
      </c>
      <c r="W142" s="16">
        <v>7.41620620984</v>
      </c>
      <c r="X142" s="16">
        <v>8.68137153393</v>
      </c>
      <c r="Y142" s="23">
        <f t="shared" si="17"/>
        <v>8.23057315893</v>
      </c>
    </row>
    <row r="143" spans="1:25">
      <c r="A143" s="16">
        <v>142</v>
      </c>
      <c r="B143" s="20" t="s">
        <v>166</v>
      </c>
      <c r="C143" s="20">
        <v>3</v>
      </c>
      <c r="D143" s="20">
        <v>648</v>
      </c>
      <c r="E143" s="20">
        <f t="shared" si="15"/>
        <v>2.81158170789422</v>
      </c>
      <c r="F143" s="21">
        <f t="shared" si="14"/>
        <v>1.09069095970695</v>
      </c>
      <c r="G143" s="22">
        <v>-0.263989345574</v>
      </c>
      <c r="H143">
        <v>97</v>
      </c>
      <c r="I143">
        <v>1</v>
      </c>
      <c r="J143">
        <v>8</v>
      </c>
      <c r="K143">
        <v>0</v>
      </c>
      <c r="L143">
        <v>7</v>
      </c>
      <c r="M143">
        <v>20</v>
      </c>
      <c r="N143">
        <v>2</v>
      </c>
      <c r="O143">
        <v>27</v>
      </c>
      <c r="P143">
        <v>0</v>
      </c>
      <c r="Q143" s="16">
        <v>9.5197</v>
      </c>
      <c r="R143" s="16">
        <v>24214</v>
      </c>
      <c r="S143" s="17">
        <f t="shared" si="16"/>
        <v>0.254356754939757</v>
      </c>
      <c r="T143" s="19">
        <v>59411879.619329</v>
      </c>
      <c r="U143" s="16">
        <v>71.41378678921</v>
      </c>
      <c r="V143" s="16">
        <v>85.45301887635</v>
      </c>
      <c r="W143" s="16">
        <v>93.72000650722</v>
      </c>
      <c r="X143" s="16">
        <v>97.65300650722</v>
      </c>
      <c r="Y143" s="23">
        <f t="shared" si="17"/>
        <v>26.23921971801</v>
      </c>
    </row>
    <row r="144" spans="1:25">
      <c r="A144" s="16">
        <v>143</v>
      </c>
      <c r="B144" s="20" t="s">
        <v>167</v>
      </c>
      <c r="C144" s="20">
        <v>2</v>
      </c>
      <c r="D144" s="20">
        <v>105</v>
      </c>
      <c r="E144" s="20">
        <f t="shared" si="15"/>
        <v>2.0212306584797</v>
      </c>
      <c r="F144" s="21">
        <f t="shared" si="14"/>
        <v>0.145746293496757</v>
      </c>
      <c r="G144" s="22">
        <v>-0.299457970945</v>
      </c>
      <c r="H144">
        <v>99</v>
      </c>
      <c r="I144">
        <v>0</v>
      </c>
      <c r="J144">
        <v>19</v>
      </c>
      <c r="K144">
        <v>3</v>
      </c>
      <c r="L144">
        <v>5</v>
      </c>
      <c r="M144">
        <v>30</v>
      </c>
      <c r="N144">
        <v>2</v>
      </c>
      <c r="O144">
        <v>13</v>
      </c>
      <c r="P144">
        <v>1</v>
      </c>
      <c r="Q144" s="16">
        <v>9.4574</v>
      </c>
      <c r="R144" s="16">
        <v>26506</v>
      </c>
      <c r="S144" s="17">
        <f t="shared" si="16"/>
        <v>0.280267303910166</v>
      </c>
      <c r="T144" s="19">
        <v>72042998.474151</v>
      </c>
      <c r="U144" s="16">
        <v>83.9645319654</v>
      </c>
      <c r="V144" s="16">
        <v>98.20865498949</v>
      </c>
      <c r="W144" s="19">
        <v>112.87020983429</v>
      </c>
      <c r="X144" s="19">
        <v>116.75830962674</v>
      </c>
      <c r="Y144" s="23">
        <f t="shared" si="17"/>
        <v>32.79377766134</v>
      </c>
    </row>
    <row r="145" spans="1:25">
      <c r="A145" s="16">
        <v>144</v>
      </c>
      <c r="B145" s="20" t="s">
        <v>168</v>
      </c>
      <c r="C145" s="20">
        <v>2</v>
      </c>
      <c r="D145" s="20">
        <v>172</v>
      </c>
      <c r="E145" s="20">
        <f t="shared" si="15"/>
        <v>2.23555369585276</v>
      </c>
      <c r="F145" s="21">
        <f t="shared" si="14"/>
        <v>0.32741592694681</v>
      </c>
      <c r="G145" s="22">
        <v>-0.294089954215</v>
      </c>
      <c r="H145">
        <v>92</v>
      </c>
      <c r="I145">
        <v>1</v>
      </c>
      <c r="J145">
        <v>7</v>
      </c>
      <c r="K145">
        <v>1</v>
      </c>
      <c r="L145">
        <v>8</v>
      </c>
      <c r="M145">
        <v>17</v>
      </c>
      <c r="N145">
        <v>1</v>
      </c>
      <c r="O145">
        <v>56</v>
      </c>
      <c r="P145">
        <v>1</v>
      </c>
      <c r="Q145" s="16">
        <v>9.0305</v>
      </c>
      <c r="R145" s="16">
        <v>27548</v>
      </c>
      <c r="S145" s="17">
        <f t="shared" si="16"/>
        <v>0.305055091080228</v>
      </c>
      <c r="T145" s="19">
        <v>52532569.690155</v>
      </c>
      <c r="U145" s="16">
        <v>85.03610679675</v>
      </c>
      <c r="V145" s="19">
        <v>107.21116766707</v>
      </c>
      <c r="W145" s="19">
        <v>123.37675134319</v>
      </c>
      <c r="X145" s="19">
        <v>130.10956296668</v>
      </c>
      <c r="Y145" s="23">
        <f t="shared" si="17"/>
        <v>45.07345616993</v>
      </c>
    </row>
    <row r="146" spans="1:25">
      <c r="A146" s="16">
        <v>145</v>
      </c>
      <c r="B146" s="20" t="s">
        <v>169</v>
      </c>
      <c r="C146" s="20">
        <v>1</v>
      </c>
      <c r="D146" s="20">
        <v>16</v>
      </c>
      <c r="E146" s="20">
        <f t="shared" si="15"/>
        <v>1.2043913319193</v>
      </c>
      <c r="F146" s="21">
        <f t="shared" si="14"/>
        <v>0.0276442829003332</v>
      </c>
      <c r="G146" s="22">
        <v>-0.30750999604</v>
      </c>
      <c r="H146">
        <v>33</v>
      </c>
      <c r="I146">
        <v>0</v>
      </c>
      <c r="J146">
        <v>5</v>
      </c>
      <c r="K146">
        <v>0</v>
      </c>
      <c r="L146">
        <v>9</v>
      </c>
      <c r="M146">
        <v>7</v>
      </c>
      <c r="N146">
        <v>0</v>
      </c>
      <c r="O146">
        <v>24</v>
      </c>
      <c r="P146">
        <v>0</v>
      </c>
      <c r="Q146" s="16">
        <v>4.7564</v>
      </c>
      <c r="R146" s="16">
        <v>9418</v>
      </c>
      <c r="S146" s="17">
        <f t="shared" si="16"/>
        <v>0.198006895971743</v>
      </c>
      <c r="T146" s="19">
        <v>57878151.723759</v>
      </c>
      <c r="U146" s="16">
        <v>36.37094751668</v>
      </c>
      <c r="V146" s="16">
        <v>47.00851327925</v>
      </c>
      <c r="W146" s="16">
        <v>59.39647581941</v>
      </c>
      <c r="X146" s="16">
        <v>63.63455623712</v>
      </c>
      <c r="Y146" s="23">
        <f t="shared" si="17"/>
        <v>27.26360872044</v>
      </c>
    </row>
    <row r="147" spans="1:25">
      <c r="A147" s="16">
        <v>146</v>
      </c>
      <c r="B147" s="20" t="s">
        <v>170</v>
      </c>
      <c r="C147" s="20">
        <v>2</v>
      </c>
      <c r="D147" s="20">
        <v>39</v>
      </c>
      <c r="E147" s="20">
        <f t="shared" si="15"/>
        <v>1.59117595031179</v>
      </c>
      <c r="F147" s="21">
        <f t="shared" si="14"/>
        <v>0.088092140181553</v>
      </c>
      <c r="G147" s="22">
        <v>-0.284344631604</v>
      </c>
      <c r="H147">
        <v>1</v>
      </c>
      <c r="I147">
        <v>0</v>
      </c>
      <c r="J147">
        <v>4</v>
      </c>
      <c r="K147">
        <v>0</v>
      </c>
      <c r="L147">
        <v>9</v>
      </c>
      <c r="M147">
        <v>16</v>
      </c>
      <c r="N147">
        <v>0</v>
      </c>
      <c r="O147">
        <v>65</v>
      </c>
      <c r="P147">
        <v>0</v>
      </c>
      <c r="Q147" s="16">
        <v>5.564</v>
      </c>
      <c r="R147" s="16">
        <v>24904</v>
      </c>
      <c r="S147" s="17">
        <f t="shared" si="16"/>
        <v>0.447591660675773</v>
      </c>
      <c r="T147" s="19">
        <v>44271827.111503</v>
      </c>
      <c r="U147" s="16">
        <v>41.37048578608</v>
      </c>
      <c r="V147" s="16">
        <v>54.93792755602</v>
      </c>
      <c r="W147" s="16">
        <v>65.46527672409</v>
      </c>
      <c r="X147" s="16">
        <v>67.55750647707</v>
      </c>
      <c r="Y147" s="23">
        <f t="shared" si="17"/>
        <v>26.18702069099</v>
      </c>
    </row>
    <row r="148" spans="1:25">
      <c r="A148" s="16">
        <v>147</v>
      </c>
      <c r="B148" s="20" t="s">
        <v>171</v>
      </c>
      <c r="C148" s="20">
        <v>2</v>
      </c>
      <c r="D148" s="20">
        <v>5</v>
      </c>
      <c r="E148" s="20">
        <f t="shared" si="15"/>
        <v>0.699837725867246</v>
      </c>
      <c r="F148" s="21">
        <f t="shared" si="14"/>
        <v>0.00291360229591756</v>
      </c>
      <c r="G148" s="22">
        <v>-0.160643067047</v>
      </c>
      <c r="H148">
        <v>29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10</v>
      </c>
      <c r="P148">
        <v>0</v>
      </c>
      <c r="Q148" s="16">
        <v>3.711</v>
      </c>
      <c r="R148" s="16">
        <v>3475</v>
      </c>
      <c r="S148" s="17">
        <f t="shared" si="16"/>
        <v>0.0936405281595257</v>
      </c>
      <c r="T148" s="19">
        <v>171608870.812802</v>
      </c>
      <c r="U148" s="16">
        <v>14.53563598597</v>
      </c>
      <c r="V148" s="16">
        <v>18.30895597673</v>
      </c>
      <c r="W148" s="16">
        <v>21.61529673173</v>
      </c>
      <c r="X148" s="16">
        <v>22.57829673173</v>
      </c>
      <c r="Y148" s="23">
        <f t="shared" si="17"/>
        <v>8.04266074576</v>
      </c>
    </row>
    <row r="149" spans="1:25">
      <c r="A149" s="16">
        <v>148</v>
      </c>
      <c r="B149" s="20" t="s">
        <v>172</v>
      </c>
      <c r="C149" s="20">
        <v>1</v>
      </c>
      <c r="D149" s="20">
        <v>7</v>
      </c>
      <c r="E149" s="20">
        <f t="shared" si="15"/>
        <v>0.845718017966659</v>
      </c>
      <c r="F149" s="21">
        <f t="shared" si="14"/>
        <v>0.00821378934221141</v>
      </c>
      <c r="G149" s="22">
        <v>-0.165176927086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0</v>
      </c>
      <c r="O149">
        <v>22</v>
      </c>
      <c r="P149">
        <v>0</v>
      </c>
      <c r="Q149" s="16">
        <v>4.0353</v>
      </c>
      <c r="R149" s="16">
        <v>6212</v>
      </c>
      <c r="S149" s="17">
        <f t="shared" si="16"/>
        <v>0.153941466557629</v>
      </c>
      <c r="T149" s="19">
        <v>85222541.123941</v>
      </c>
      <c r="U149" s="16">
        <v>29.07520242407</v>
      </c>
      <c r="V149" s="16">
        <v>36.97751331893</v>
      </c>
      <c r="W149" s="16">
        <v>41.61505164699</v>
      </c>
      <c r="X149" s="16">
        <v>42.73105164699</v>
      </c>
      <c r="Y149" s="23">
        <f t="shared" si="17"/>
        <v>13.65584922292</v>
      </c>
    </row>
    <row r="150" spans="1:25">
      <c r="A150" s="16">
        <v>149</v>
      </c>
      <c r="B150" s="20" t="s">
        <v>173</v>
      </c>
      <c r="C150" s="20">
        <v>1</v>
      </c>
      <c r="D150" s="20">
        <v>1</v>
      </c>
      <c r="E150" s="20">
        <f t="shared" si="15"/>
        <v>0.00432137378264258</v>
      </c>
      <c r="F150" s="21">
        <f t="shared" si="14"/>
        <v>0.00155867433925808</v>
      </c>
      <c r="G150" s="22">
        <v>-0.321188214959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 s="16">
        <v>1.5319</v>
      </c>
      <c r="R150" s="16">
        <v>923</v>
      </c>
      <c r="S150" s="17">
        <f t="shared" si="16"/>
        <v>0.060251974671976</v>
      </c>
      <c r="T150" s="19">
        <v>64157083.671243</v>
      </c>
      <c r="U150" s="16">
        <v>3.04908864</v>
      </c>
      <c r="V150" s="16">
        <v>3.82308864</v>
      </c>
      <c r="W150" s="16">
        <v>4.37208864</v>
      </c>
      <c r="X150" s="16">
        <v>4.75908864</v>
      </c>
      <c r="Y150" s="23">
        <f t="shared" si="17"/>
        <v>1.71</v>
      </c>
    </row>
    <row r="151" spans="1:25">
      <c r="A151" s="16">
        <v>150</v>
      </c>
      <c r="B151" s="20" t="s">
        <v>174</v>
      </c>
      <c r="C151" s="20">
        <v>1</v>
      </c>
      <c r="D151" s="20">
        <v>17</v>
      </c>
      <c r="E151" s="20">
        <f t="shared" si="15"/>
        <v>1.23070431361257</v>
      </c>
      <c r="F151" s="21">
        <f t="shared" si="14"/>
        <v>0.0163222906947922</v>
      </c>
      <c r="G151" s="22">
        <v>-0.462083189614</v>
      </c>
      <c r="H151">
        <v>0</v>
      </c>
      <c r="I151">
        <v>1</v>
      </c>
      <c r="J151">
        <v>0</v>
      </c>
      <c r="K151">
        <v>2</v>
      </c>
      <c r="L151">
        <v>1</v>
      </c>
      <c r="M151">
        <v>7</v>
      </c>
      <c r="N151">
        <v>0</v>
      </c>
      <c r="O151">
        <v>15</v>
      </c>
      <c r="P151">
        <v>0</v>
      </c>
      <c r="Q151" s="16">
        <v>6.0484</v>
      </c>
      <c r="R151" s="16">
        <v>5382</v>
      </c>
      <c r="S151" s="17">
        <f t="shared" si="16"/>
        <v>0.088982210171285</v>
      </c>
      <c r="T151" s="19">
        <v>104152047.760208</v>
      </c>
      <c r="U151" s="16">
        <v>29.151</v>
      </c>
      <c r="V151" s="16">
        <v>34.056</v>
      </c>
      <c r="W151" s="16">
        <v>36.927</v>
      </c>
      <c r="X151" s="16">
        <v>38.565</v>
      </c>
      <c r="Y151" s="23">
        <f t="shared" si="17"/>
        <v>9.414</v>
      </c>
    </row>
    <row r="152" spans="1:25">
      <c r="A152" s="16">
        <v>151</v>
      </c>
      <c r="B152" s="20" t="s">
        <v>175</v>
      </c>
      <c r="C152" s="20">
        <v>1</v>
      </c>
      <c r="D152" s="20">
        <v>39</v>
      </c>
      <c r="E152" s="20">
        <f t="shared" si="15"/>
        <v>1.59117595031179</v>
      </c>
      <c r="F152" s="21">
        <f t="shared" si="14"/>
        <v>0.0424526652551545</v>
      </c>
      <c r="G152" s="22">
        <v>-0.491901370719</v>
      </c>
      <c r="H152">
        <v>0</v>
      </c>
      <c r="I152">
        <v>1</v>
      </c>
      <c r="J152">
        <v>5</v>
      </c>
      <c r="K152">
        <v>1</v>
      </c>
      <c r="L152">
        <v>1</v>
      </c>
      <c r="M152">
        <v>9</v>
      </c>
      <c r="N152">
        <v>0</v>
      </c>
      <c r="O152">
        <v>11</v>
      </c>
      <c r="P152">
        <v>0</v>
      </c>
      <c r="Q152" s="16">
        <v>6.1141</v>
      </c>
      <c r="R152" s="16">
        <v>5201</v>
      </c>
      <c r="S152" s="17">
        <f t="shared" si="16"/>
        <v>0.0850656678824357</v>
      </c>
      <c r="T152" s="19">
        <v>91867023.579314</v>
      </c>
      <c r="U152" s="16">
        <v>57.03038254833</v>
      </c>
      <c r="V152" s="16">
        <v>60.93098501696</v>
      </c>
      <c r="W152" s="16">
        <v>65.70098501696</v>
      </c>
      <c r="X152" s="16">
        <v>68.29298501696</v>
      </c>
      <c r="Y152" s="23">
        <f t="shared" si="17"/>
        <v>11.26260246863</v>
      </c>
    </row>
    <row r="153" spans="1:25">
      <c r="A153" s="16">
        <v>152</v>
      </c>
      <c r="B153" s="20" t="s">
        <v>176</v>
      </c>
      <c r="C153" s="20">
        <v>1</v>
      </c>
      <c r="D153" s="20">
        <v>1</v>
      </c>
      <c r="E153" s="20">
        <f t="shared" si="15"/>
        <v>0.00432137378264258</v>
      </c>
      <c r="F153" s="21">
        <f t="shared" si="14"/>
        <v>0.00214108624231972</v>
      </c>
      <c r="G153" s="22">
        <v>-0.407319041955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2</v>
      </c>
      <c r="O153">
        <v>2</v>
      </c>
      <c r="P153">
        <v>0</v>
      </c>
      <c r="Q153" s="16">
        <v>1.2879</v>
      </c>
      <c r="R153" s="16">
        <v>891</v>
      </c>
      <c r="S153" s="17">
        <f t="shared" si="16"/>
        <v>0.0691823899371069</v>
      </c>
      <c r="T153" s="19">
        <v>46705264.843352</v>
      </c>
      <c r="U153" s="16">
        <v>4.293</v>
      </c>
      <c r="V153" s="16">
        <v>5.085</v>
      </c>
      <c r="W153" s="16">
        <v>5.418</v>
      </c>
      <c r="X153" s="16">
        <v>5.823</v>
      </c>
      <c r="Y153" s="23">
        <f t="shared" si="17"/>
        <v>1.53</v>
      </c>
    </row>
    <row r="154" spans="1:25">
      <c r="A154" s="16">
        <v>153</v>
      </c>
      <c r="B154" s="20" t="s">
        <v>177</v>
      </c>
      <c r="C154" s="20">
        <v>1</v>
      </c>
      <c r="D154" s="20">
        <v>26</v>
      </c>
      <c r="E154" s="20">
        <f t="shared" si="15"/>
        <v>1.41514035219587</v>
      </c>
      <c r="F154" s="21">
        <f t="shared" si="14"/>
        <v>0.0262889082982511</v>
      </c>
      <c r="G154" s="22">
        <v>-0.394010578633</v>
      </c>
      <c r="H154">
        <v>0</v>
      </c>
      <c r="I154">
        <v>1</v>
      </c>
      <c r="J154">
        <v>7</v>
      </c>
      <c r="K154">
        <v>2</v>
      </c>
      <c r="L154">
        <v>0</v>
      </c>
      <c r="M154">
        <v>5</v>
      </c>
      <c r="N154">
        <v>0</v>
      </c>
      <c r="O154">
        <v>13</v>
      </c>
      <c r="P154">
        <v>1</v>
      </c>
      <c r="Q154" s="16">
        <v>4.8589</v>
      </c>
      <c r="R154" s="16">
        <v>3709</v>
      </c>
      <c r="S154" s="17">
        <f t="shared" si="16"/>
        <v>0.0763341497046657</v>
      </c>
      <c r="T154" s="19">
        <v>98901025.881435</v>
      </c>
      <c r="U154" s="16">
        <v>32.13354075473</v>
      </c>
      <c r="V154" s="16">
        <v>34.6679382861</v>
      </c>
      <c r="W154" s="16">
        <v>38.5289382861</v>
      </c>
      <c r="X154" s="16">
        <v>40.3739382861</v>
      </c>
      <c r="Y154" s="23">
        <f t="shared" si="17"/>
        <v>8.24039753137</v>
      </c>
    </row>
    <row r="155" spans="1:25">
      <c r="A155" s="16">
        <v>154</v>
      </c>
      <c r="B155" s="20" t="s">
        <v>178</v>
      </c>
      <c r="C155" s="20">
        <v>1</v>
      </c>
      <c r="D155" s="20">
        <v>119</v>
      </c>
      <c r="E155" s="20">
        <f t="shared" si="15"/>
        <v>2.07558345519381</v>
      </c>
      <c r="F155" s="21">
        <f t="shared" si="14"/>
        <v>0.108578058472148</v>
      </c>
      <c r="G155" s="22">
        <v>-0.4902909657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3</v>
      </c>
      <c r="N155">
        <v>0</v>
      </c>
      <c r="O155">
        <v>2</v>
      </c>
      <c r="P155">
        <v>0</v>
      </c>
      <c r="Q155" s="16">
        <v>1.1587</v>
      </c>
      <c r="R155" s="16">
        <v>1431</v>
      </c>
      <c r="S155" s="17">
        <f t="shared" si="16"/>
        <v>0.123500474669889</v>
      </c>
      <c r="T155" s="19">
        <v>109598570.53488</v>
      </c>
      <c r="U155" s="16">
        <v>4.797</v>
      </c>
      <c r="V155" s="16">
        <v>5.679</v>
      </c>
      <c r="W155" s="16">
        <v>6.86125416549</v>
      </c>
      <c r="X155" s="16">
        <v>7.12225416549</v>
      </c>
      <c r="Y155" s="23">
        <f t="shared" si="17"/>
        <v>2.32525416549</v>
      </c>
    </row>
    <row r="156" spans="1:25">
      <c r="A156" s="16">
        <v>155</v>
      </c>
      <c r="B156" s="20" t="s">
        <v>179</v>
      </c>
      <c r="C156" s="20">
        <v>1</v>
      </c>
      <c r="D156" s="20">
        <v>17</v>
      </c>
      <c r="E156" s="20">
        <f t="shared" si="15"/>
        <v>1.23070431361257</v>
      </c>
      <c r="F156" s="21">
        <f t="shared" si="14"/>
        <v>0.0251736052095779</v>
      </c>
      <c r="G156" s="22">
        <v>-0.531893095358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2</v>
      </c>
      <c r="N156">
        <v>0</v>
      </c>
      <c r="O156">
        <v>4</v>
      </c>
      <c r="P156">
        <v>0</v>
      </c>
      <c r="Q156" s="16">
        <v>2.5918</v>
      </c>
      <c r="R156" s="16">
        <v>1501</v>
      </c>
      <c r="S156" s="17">
        <f t="shared" si="16"/>
        <v>0.0579134192453121</v>
      </c>
      <c r="T156" s="19">
        <v>67531050.314287</v>
      </c>
      <c r="U156" s="16">
        <v>14.68306301964</v>
      </c>
      <c r="V156" s="16">
        <v>16.35295445364</v>
      </c>
      <c r="W156" s="16">
        <v>17.67209007168</v>
      </c>
      <c r="X156" s="16">
        <v>18.80512652519</v>
      </c>
      <c r="Y156" s="23">
        <f t="shared" si="17"/>
        <v>4.12206350555</v>
      </c>
    </row>
    <row r="157" spans="1:25">
      <c r="A157" s="16">
        <v>156</v>
      </c>
      <c r="B157" s="20" t="s">
        <v>180</v>
      </c>
      <c r="C157" s="20">
        <v>1</v>
      </c>
      <c r="D157" s="20">
        <v>63</v>
      </c>
      <c r="E157" s="20">
        <f t="shared" si="15"/>
        <v>1.79940947961513</v>
      </c>
      <c r="F157" s="21">
        <f t="shared" si="14"/>
        <v>0.0996119173090591</v>
      </c>
      <c r="G157" s="22">
        <v>-0.451298710999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2</v>
      </c>
      <c r="N157">
        <v>1</v>
      </c>
      <c r="O157">
        <v>19</v>
      </c>
      <c r="P157">
        <v>0</v>
      </c>
      <c r="Q157" s="16">
        <v>4.6709</v>
      </c>
      <c r="R157" s="16">
        <v>7409</v>
      </c>
      <c r="S157" s="17">
        <f t="shared" si="16"/>
        <v>0.158620394356548</v>
      </c>
      <c r="T157" s="19">
        <v>63245444.623392</v>
      </c>
      <c r="U157" s="16">
        <v>40.3592048707</v>
      </c>
      <c r="V157" s="16">
        <v>45.50367364948</v>
      </c>
      <c r="W157" s="16">
        <v>49.73743396561</v>
      </c>
      <c r="X157" s="16">
        <v>54.84763379409</v>
      </c>
      <c r="Y157" s="23">
        <f t="shared" si="17"/>
        <v>14.48842892339</v>
      </c>
    </row>
    <row r="158" spans="1:25">
      <c r="A158" s="16">
        <v>157</v>
      </c>
      <c r="B158" s="20" t="s">
        <v>181</v>
      </c>
      <c r="C158" s="20">
        <v>1</v>
      </c>
      <c r="D158" s="20">
        <v>165</v>
      </c>
      <c r="E158" s="20">
        <f t="shared" si="15"/>
        <v>2.21751026429403</v>
      </c>
      <c r="F158" s="21">
        <f t="shared" si="14"/>
        <v>0.286456149872366</v>
      </c>
      <c r="G158" s="22">
        <v>-0.466971262894</v>
      </c>
      <c r="H158">
        <v>8</v>
      </c>
      <c r="I158">
        <v>1</v>
      </c>
      <c r="J158">
        <v>16</v>
      </c>
      <c r="K158">
        <v>1</v>
      </c>
      <c r="L158">
        <v>5</v>
      </c>
      <c r="M158">
        <v>11</v>
      </c>
      <c r="N158">
        <v>0</v>
      </c>
      <c r="O158">
        <v>26</v>
      </c>
      <c r="P158">
        <v>0</v>
      </c>
      <c r="Q158" s="16">
        <v>6.5139</v>
      </c>
      <c r="R158" s="16">
        <v>14633</v>
      </c>
      <c r="S158" s="17">
        <f t="shared" si="16"/>
        <v>0.224642687176653</v>
      </c>
      <c r="T158" s="19">
        <v>57600439.045738</v>
      </c>
      <c r="U158" s="16">
        <v>65.27348460715</v>
      </c>
      <c r="V158" s="16">
        <v>71.17800402854</v>
      </c>
      <c r="W158" s="16">
        <v>75.57618702854</v>
      </c>
      <c r="X158" s="16">
        <v>79.32295074655</v>
      </c>
      <c r="Y158" s="23">
        <f t="shared" si="17"/>
        <v>14.0494661394</v>
      </c>
    </row>
    <row r="159" spans="1:25">
      <c r="A159" s="16">
        <v>158</v>
      </c>
      <c r="B159" s="20" t="s">
        <v>182</v>
      </c>
      <c r="C159" s="20">
        <v>1</v>
      </c>
      <c r="D159" s="20">
        <v>200</v>
      </c>
      <c r="E159" s="20">
        <f t="shared" si="15"/>
        <v>2.30105170984523</v>
      </c>
      <c r="F159" s="21">
        <f t="shared" si="14"/>
        <v>0.240930476831548</v>
      </c>
      <c r="G159" s="22">
        <v>-0.356716456818</v>
      </c>
      <c r="H159">
        <v>29</v>
      </c>
      <c r="I159">
        <v>1</v>
      </c>
      <c r="J159">
        <v>15</v>
      </c>
      <c r="K159">
        <v>1</v>
      </c>
      <c r="L159">
        <v>6</v>
      </c>
      <c r="M159">
        <v>15</v>
      </c>
      <c r="N159">
        <v>0</v>
      </c>
      <c r="O159">
        <v>42</v>
      </c>
      <c r="P159">
        <v>0</v>
      </c>
      <c r="Q159" s="16">
        <v>8.1468</v>
      </c>
      <c r="R159" s="16">
        <v>12295</v>
      </c>
      <c r="S159" s="17">
        <f t="shared" si="16"/>
        <v>0.150918151912407</v>
      </c>
      <c r="T159" s="19">
        <v>83011498.848207</v>
      </c>
      <c r="U159" s="16">
        <v>78.27389432612</v>
      </c>
      <c r="V159" s="16">
        <v>86.02361260946</v>
      </c>
      <c r="W159" s="16">
        <v>91.99451415497</v>
      </c>
      <c r="X159" s="16">
        <v>96.0544549162</v>
      </c>
      <c r="Y159" s="23">
        <f t="shared" si="17"/>
        <v>17.78056059008</v>
      </c>
    </row>
    <row r="160" spans="1:25">
      <c r="A160" s="16">
        <v>159</v>
      </c>
      <c r="B160" s="20" t="s">
        <v>183</v>
      </c>
      <c r="C160" s="20">
        <v>1</v>
      </c>
      <c r="D160" s="20">
        <v>20</v>
      </c>
      <c r="E160" s="20">
        <f t="shared" si="15"/>
        <v>1.30124708863621</v>
      </c>
      <c r="F160" s="21">
        <f t="shared" si="14"/>
        <v>0.041233088808887</v>
      </c>
      <c r="G160" s="22">
        <v>-0.414972046189</v>
      </c>
      <c r="H160">
        <v>0</v>
      </c>
      <c r="I160">
        <v>0</v>
      </c>
      <c r="J160">
        <v>1</v>
      </c>
      <c r="K160">
        <v>0</v>
      </c>
      <c r="L160">
        <v>2</v>
      </c>
      <c r="M160">
        <v>3</v>
      </c>
      <c r="N160">
        <v>1</v>
      </c>
      <c r="O160">
        <v>4</v>
      </c>
      <c r="P160">
        <v>0</v>
      </c>
      <c r="Q160" s="16">
        <v>3.1318</v>
      </c>
      <c r="R160" s="16">
        <v>1638</v>
      </c>
      <c r="S160" s="17">
        <f t="shared" si="16"/>
        <v>0.0523021904336165</v>
      </c>
      <c r="T160" s="19">
        <v>48504733.886658</v>
      </c>
      <c r="U160" s="16">
        <v>26.86371517943</v>
      </c>
      <c r="V160" s="16">
        <v>30.29271517943</v>
      </c>
      <c r="W160" s="16">
        <v>33.52371517943</v>
      </c>
      <c r="X160" s="16">
        <v>38.64449210532</v>
      </c>
      <c r="Y160" s="23">
        <f t="shared" si="17"/>
        <v>11.78077692589</v>
      </c>
    </row>
    <row r="161" spans="1:25">
      <c r="A161" s="16">
        <v>160</v>
      </c>
      <c r="B161" s="20" t="s">
        <v>184</v>
      </c>
      <c r="C161" s="20">
        <v>1</v>
      </c>
      <c r="D161" s="20">
        <v>51</v>
      </c>
      <c r="E161" s="20">
        <f t="shared" si="15"/>
        <v>1.70765532353119</v>
      </c>
      <c r="F161" s="21">
        <f t="shared" si="14"/>
        <v>0.0791585423153087</v>
      </c>
      <c r="G161" s="22">
        <v>-0.361049653112</v>
      </c>
      <c r="H161">
        <v>18</v>
      </c>
      <c r="I161">
        <v>0</v>
      </c>
      <c r="J161">
        <v>3</v>
      </c>
      <c r="K161">
        <v>0</v>
      </c>
      <c r="L161">
        <v>4</v>
      </c>
      <c r="M161">
        <v>5</v>
      </c>
      <c r="N161">
        <v>0</v>
      </c>
      <c r="O161">
        <v>23</v>
      </c>
      <c r="P161">
        <v>1</v>
      </c>
      <c r="Q161" s="16">
        <v>5.3908</v>
      </c>
      <c r="R161" s="16">
        <v>11334</v>
      </c>
      <c r="S161" s="17">
        <f t="shared" si="16"/>
        <v>0.210247087630778</v>
      </c>
      <c r="T161" s="19">
        <v>64427664.416626</v>
      </c>
      <c r="U161" s="16">
        <v>48.57617657176</v>
      </c>
      <c r="V161" s="16">
        <v>58.22856649396</v>
      </c>
      <c r="W161" s="16">
        <v>64.67397627744</v>
      </c>
      <c r="X161" s="16">
        <v>67.66086506607</v>
      </c>
      <c r="Y161" s="23">
        <f t="shared" si="17"/>
        <v>19.08468849431</v>
      </c>
    </row>
    <row r="162" spans="1:25">
      <c r="A162" s="16">
        <v>161</v>
      </c>
      <c r="B162" s="20" t="s">
        <v>185</v>
      </c>
      <c r="C162" s="20">
        <v>1</v>
      </c>
      <c r="D162" s="20">
        <v>46</v>
      </c>
      <c r="E162" s="20">
        <f t="shared" si="15"/>
        <v>1.6628522332648</v>
      </c>
      <c r="F162" s="21">
        <f t="shared" si="14"/>
        <v>0.0837347309390672</v>
      </c>
      <c r="G162" s="22">
        <v>-0.491139799242</v>
      </c>
      <c r="H162">
        <v>14</v>
      </c>
      <c r="I162">
        <v>0</v>
      </c>
      <c r="J162">
        <v>6</v>
      </c>
      <c r="K162">
        <v>0</v>
      </c>
      <c r="L162">
        <v>5</v>
      </c>
      <c r="M162">
        <v>4</v>
      </c>
      <c r="N162">
        <v>0</v>
      </c>
      <c r="O162">
        <v>20</v>
      </c>
      <c r="P162">
        <v>0</v>
      </c>
      <c r="Q162" s="16">
        <v>4.9403</v>
      </c>
      <c r="R162" s="16">
        <v>12195</v>
      </c>
      <c r="S162" s="17">
        <f t="shared" si="16"/>
        <v>0.246847357447928</v>
      </c>
      <c r="T162" s="19">
        <v>54935388.797599</v>
      </c>
      <c r="U162" s="16">
        <v>62.14756166134</v>
      </c>
      <c r="V162" s="16">
        <v>71.4437072511</v>
      </c>
      <c r="W162" s="16">
        <v>78.97380266232</v>
      </c>
      <c r="X162" s="16">
        <v>80.76173704363</v>
      </c>
      <c r="Y162" s="23">
        <f t="shared" si="17"/>
        <v>18.61417538229</v>
      </c>
    </row>
    <row r="163" spans="1:25">
      <c r="A163" s="16">
        <v>162</v>
      </c>
      <c r="B163" s="20" t="s">
        <v>186</v>
      </c>
      <c r="C163" s="20">
        <v>1</v>
      </c>
      <c r="D163" s="20">
        <v>82</v>
      </c>
      <c r="E163" s="20">
        <f t="shared" si="15"/>
        <v>1.91386681189624</v>
      </c>
      <c r="F163" s="21">
        <f t="shared" si="14"/>
        <v>0.148675920558573</v>
      </c>
      <c r="G163" s="22">
        <v>-0.423742632126</v>
      </c>
      <c r="H163">
        <v>42</v>
      </c>
      <c r="I163">
        <v>0</v>
      </c>
      <c r="J163">
        <v>16</v>
      </c>
      <c r="K163">
        <v>2</v>
      </c>
      <c r="L163">
        <v>8</v>
      </c>
      <c r="M163">
        <v>12</v>
      </c>
      <c r="N163">
        <v>1</v>
      </c>
      <c r="O163">
        <v>58</v>
      </c>
      <c r="P163">
        <v>0</v>
      </c>
      <c r="Q163" s="16">
        <v>8.2988</v>
      </c>
      <c r="R163" s="16">
        <v>25669</v>
      </c>
      <c r="S163" s="17">
        <f t="shared" si="16"/>
        <v>0.309309779727189</v>
      </c>
      <c r="T163" s="19">
        <v>55153517.591771</v>
      </c>
      <c r="U163" s="16">
        <v>77.94781645761</v>
      </c>
      <c r="V163" s="19">
        <v>105.53455895941</v>
      </c>
      <c r="W163" s="19">
        <v>126.07609129976</v>
      </c>
      <c r="X163" s="19">
        <v>135.30232735009</v>
      </c>
      <c r="Y163" s="23">
        <f t="shared" si="17"/>
        <v>57.35451089248</v>
      </c>
    </row>
    <row r="164" spans="1:25">
      <c r="A164" s="16">
        <v>163</v>
      </c>
      <c r="B164" s="20" t="s">
        <v>75</v>
      </c>
      <c r="C164" s="20">
        <v>1</v>
      </c>
      <c r="D164" s="20">
        <v>65</v>
      </c>
      <c r="E164" s="20">
        <f t="shared" si="15"/>
        <v>1.81298016603948</v>
      </c>
      <c r="F164" s="21">
        <f t="shared" si="14"/>
        <v>0.0486846609603439</v>
      </c>
      <c r="G164" s="22">
        <v>-0.319559704647</v>
      </c>
      <c r="H164">
        <v>120</v>
      </c>
      <c r="I164">
        <v>1</v>
      </c>
      <c r="J164">
        <v>20</v>
      </c>
      <c r="K164">
        <v>0</v>
      </c>
      <c r="L164">
        <v>14</v>
      </c>
      <c r="M164">
        <v>26</v>
      </c>
      <c r="N164">
        <v>1</v>
      </c>
      <c r="O164">
        <v>90</v>
      </c>
      <c r="P164">
        <v>1</v>
      </c>
      <c r="Q164" s="16">
        <v>10.7381</v>
      </c>
      <c r="R164" s="16">
        <v>26937</v>
      </c>
      <c r="S164" s="17">
        <f t="shared" si="16"/>
        <v>0.250854434210894</v>
      </c>
      <c r="T164" s="19">
        <v>133512278.236765</v>
      </c>
      <c r="U164" s="19">
        <v>172.83653093341</v>
      </c>
      <c r="V164" s="19">
        <v>192.50620259122</v>
      </c>
      <c r="W164" s="19">
        <v>218.11117631133</v>
      </c>
      <c r="X164" s="19">
        <v>224.95754190036</v>
      </c>
      <c r="Y164" s="23">
        <f t="shared" si="17"/>
        <v>52.12101096695</v>
      </c>
    </row>
    <row r="165" spans="1:25">
      <c r="A165" s="16">
        <v>164</v>
      </c>
      <c r="B165" s="20" t="s">
        <v>187</v>
      </c>
      <c r="C165" s="20">
        <v>1</v>
      </c>
      <c r="D165" s="20">
        <v>70</v>
      </c>
      <c r="E165" s="20">
        <f t="shared" si="15"/>
        <v>1.84516007765195</v>
      </c>
      <c r="F165" s="21">
        <f t="shared" si="14"/>
        <v>0.0575562929434327</v>
      </c>
      <c r="G165" s="22">
        <v>-0.40815066561</v>
      </c>
      <c r="H165">
        <v>69</v>
      </c>
      <c r="I165">
        <v>2</v>
      </c>
      <c r="J165">
        <v>47</v>
      </c>
      <c r="K165">
        <v>0</v>
      </c>
      <c r="L165">
        <v>23</v>
      </c>
      <c r="M165">
        <v>29</v>
      </c>
      <c r="N165">
        <v>3</v>
      </c>
      <c r="O165">
        <v>177</v>
      </c>
      <c r="P165">
        <v>0</v>
      </c>
      <c r="Q165" s="16">
        <v>18.2936</v>
      </c>
      <c r="R165" s="16">
        <v>89983</v>
      </c>
      <c r="S165" s="17">
        <f t="shared" si="16"/>
        <v>0.491882406961998</v>
      </c>
      <c r="T165" s="19">
        <v>121620063.454742</v>
      </c>
      <c r="U165" s="19">
        <v>229.44827092041</v>
      </c>
      <c r="V165" s="19">
        <v>268.20430767242</v>
      </c>
      <c r="W165" s="16">
        <v>302.3409190005</v>
      </c>
      <c r="X165" s="19">
        <v>314.78440860251</v>
      </c>
      <c r="Y165" s="23">
        <f t="shared" si="17"/>
        <v>85.3361376821</v>
      </c>
    </row>
    <row r="166" spans="1:25">
      <c r="A166" s="16">
        <v>165</v>
      </c>
      <c r="B166" s="20" t="s">
        <v>188</v>
      </c>
      <c r="C166" s="20">
        <v>1</v>
      </c>
      <c r="D166" s="20">
        <v>24</v>
      </c>
      <c r="E166" s="20">
        <f t="shared" si="15"/>
        <v>1.38039216005703</v>
      </c>
      <c r="F166" s="21">
        <f t="shared" si="14"/>
        <v>0.0280207520978414</v>
      </c>
      <c r="G166" s="22">
        <v>-0.335072739856</v>
      </c>
      <c r="H166">
        <v>47</v>
      </c>
      <c r="I166">
        <v>1</v>
      </c>
      <c r="J166">
        <v>16</v>
      </c>
      <c r="K166">
        <v>2</v>
      </c>
      <c r="L166">
        <v>9</v>
      </c>
      <c r="M166">
        <v>22</v>
      </c>
      <c r="N166">
        <v>3</v>
      </c>
      <c r="O166">
        <v>127</v>
      </c>
      <c r="P166">
        <v>1</v>
      </c>
      <c r="Q166" s="16">
        <v>9.8915</v>
      </c>
      <c r="R166" s="16">
        <v>37211</v>
      </c>
      <c r="S166" s="17">
        <f t="shared" si="16"/>
        <v>0.376191679725016</v>
      </c>
      <c r="T166" s="19">
        <v>85650805.931968</v>
      </c>
      <c r="U166" s="19">
        <v>211.91533853031</v>
      </c>
      <c r="V166" s="16">
        <v>243.5232268584</v>
      </c>
      <c r="W166" s="19">
        <v>277.61065095746</v>
      </c>
      <c r="X166" s="19">
        <v>302.10014121829</v>
      </c>
      <c r="Y166" s="23">
        <f t="shared" si="17"/>
        <v>90.18480268798</v>
      </c>
    </row>
    <row r="167" spans="1:25">
      <c r="A167" s="16">
        <v>166</v>
      </c>
      <c r="B167" s="20" t="s">
        <v>189</v>
      </c>
      <c r="C167" s="20">
        <v>1</v>
      </c>
      <c r="D167" s="20">
        <v>1</v>
      </c>
      <c r="E167" s="20">
        <f t="shared" si="15"/>
        <v>0.00432137378264258</v>
      </c>
      <c r="F167" s="21">
        <f t="shared" si="14"/>
        <v>0.00188910118508103</v>
      </c>
      <c r="G167" s="22">
        <v>-0.44036841011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 s="16">
        <v>1.1513</v>
      </c>
      <c r="R167" s="16">
        <v>884</v>
      </c>
      <c r="S167" s="17">
        <f t="shared" si="16"/>
        <v>0.0767827673065231</v>
      </c>
      <c r="T167" s="19">
        <v>52935226.969174</v>
      </c>
      <c r="U167" s="16">
        <v>0.72</v>
      </c>
      <c r="V167" s="16">
        <v>1.035</v>
      </c>
      <c r="W167" s="16">
        <v>1.305</v>
      </c>
      <c r="X167" s="16">
        <v>1.400316</v>
      </c>
      <c r="Y167" s="23">
        <f t="shared" si="17"/>
        <v>0.680316</v>
      </c>
    </row>
    <row r="168" spans="1:25">
      <c r="A168" s="16">
        <v>167</v>
      </c>
      <c r="B168" s="20" t="s">
        <v>190</v>
      </c>
      <c r="C168" s="20">
        <v>1</v>
      </c>
      <c r="D168" s="20">
        <v>4</v>
      </c>
      <c r="E168" s="20">
        <f t="shared" si="15"/>
        <v>0.603144372620182</v>
      </c>
      <c r="F168" s="21">
        <f t="shared" si="14"/>
        <v>0.00704871959149085</v>
      </c>
      <c r="G168" s="22">
        <v>-0.464787406303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s="16">
        <v>0.7745</v>
      </c>
      <c r="R168" s="16">
        <v>530</v>
      </c>
      <c r="S168" s="17">
        <f t="shared" si="16"/>
        <v>0.0684312459651388</v>
      </c>
      <c r="T168" s="19">
        <v>56747895.104648</v>
      </c>
      <c r="U168" s="16">
        <v>0.423</v>
      </c>
      <c r="V168" s="16">
        <v>0.585</v>
      </c>
      <c r="W168" s="16">
        <v>0.711</v>
      </c>
      <c r="X168" s="16">
        <v>0.801</v>
      </c>
      <c r="Y168" s="23">
        <f t="shared" si="17"/>
        <v>0.378</v>
      </c>
    </row>
    <row r="169" spans="1:25">
      <c r="A169" s="16">
        <v>168</v>
      </c>
      <c r="B169" s="20" t="s">
        <v>191</v>
      </c>
      <c r="C169" s="20">
        <v>1</v>
      </c>
      <c r="D169" s="20">
        <v>0</v>
      </c>
      <c r="E169" s="20">
        <f t="shared" si="15"/>
        <v>-2</v>
      </c>
      <c r="F169" s="21">
        <f t="shared" si="14"/>
        <v>0</v>
      </c>
      <c r="G169" s="22">
        <v>-0.408428710566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2</v>
      </c>
      <c r="P169">
        <v>0</v>
      </c>
      <c r="Q169" s="16">
        <v>0.1431</v>
      </c>
      <c r="R169" s="16">
        <v>893</v>
      </c>
      <c r="S169" s="17">
        <f t="shared" si="16"/>
        <v>0.624039133473096</v>
      </c>
      <c r="T169" s="16">
        <v>838248.249789</v>
      </c>
      <c r="U169" s="16">
        <v>1.53042473209</v>
      </c>
      <c r="V169" s="16">
        <v>2.70851500272</v>
      </c>
      <c r="W169" s="16">
        <v>3.1172993981</v>
      </c>
      <c r="X169" s="16">
        <v>3.31281021996</v>
      </c>
      <c r="Y169" s="23">
        <f t="shared" si="17"/>
        <v>1.78238548787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0"/>
  <sheetViews>
    <sheetView workbookViewId="0">
      <selection activeCell="A19" sqref="A19"/>
    </sheetView>
  </sheetViews>
  <sheetFormatPr defaultColWidth="9" defaultRowHeight="13.5"/>
  <cols>
    <col min="1" max="1" width="9.025" style="7"/>
    <col min="2" max="2" width="16"/>
    <col min="3" max="3" width="14.875"/>
    <col min="4" max="4" width="13.75"/>
    <col min="11" max="11" width="11.125" customWidth="1"/>
    <col min="12" max="12" width="13.75" style="8"/>
    <col min="13" max="13" width="10.375" style="8" customWidth="1"/>
    <col min="14" max="14" width="8.25" style="8" customWidth="1"/>
  </cols>
  <sheetData>
    <row r="1" spans="1:14">
      <c r="A1" s="7" t="s">
        <v>192</v>
      </c>
      <c r="K1" s="9"/>
    </row>
    <row r="2" spans="1:14">
      <c r="A2" s="7" t="s">
        <v>193</v>
      </c>
      <c r="K2" s="10"/>
      <c r="L2" s="11"/>
      <c r="M2" s="11"/>
      <c r="N2" s="11"/>
    </row>
    <row r="3" spans="1:14">
      <c r="A3" s="7" t="s">
        <v>194</v>
      </c>
      <c r="K3" s="9"/>
    </row>
    <row r="4" spans="1:14">
      <c r="A4" s="7" t="s">
        <v>195</v>
      </c>
      <c r="K4" s="9"/>
    </row>
    <row r="5" spans="1:14">
      <c r="A5" s="7" t="s">
        <v>196</v>
      </c>
      <c r="K5" s="12"/>
      <c r="L5" s="13"/>
      <c r="M5" s="13"/>
      <c r="N5" s="13"/>
    </row>
    <row r="6" spans="1:14">
      <c r="A6" s="7" t="s">
        <v>197</v>
      </c>
      <c r="K6" s="9"/>
    </row>
    <row r="7" spans="1:14">
      <c r="A7" s="7" t="s">
        <v>195</v>
      </c>
      <c r="K7" s="10"/>
      <c r="L7" s="11"/>
      <c r="M7" s="11"/>
      <c r="N7" s="11"/>
    </row>
    <row r="8" spans="1:14">
      <c r="A8" s="7" t="s">
        <v>198</v>
      </c>
      <c r="K8" s="9"/>
    </row>
    <row r="9" spans="1:14">
      <c r="A9" s="7" t="s">
        <v>199</v>
      </c>
      <c r="K9" s="9"/>
    </row>
    <row r="10" spans="1:14">
      <c r="A10" s="7" t="s">
        <v>200</v>
      </c>
      <c r="K10" s="9"/>
    </row>
    <row r="11" spans="1:14">
      <c r="A11" s="7" t="s">
        <v>195</v>
      </c>
      <c r="K11" s="9"/>
    </row>
    <row r="12" spans="1:14">
      <c r="A12" s="7" t="s">
        <v>201</v>
      </c>
      <c r="K12" s="9"/>
    </row>
    <row r="13" spans="1:14">
      <c r="A13" s="7" t="s">
        <v>202</v>
      </c>
      <c r="K13" s="9"/>
    </row>
    <row r="14" spans="1:14">
      <c r="A14" s="7" t="s">
        <v>203</v>
      </c>
      <c r="K14" s="9"/>
    </row>
    <row r="15" spans="1:14">
      <c r="A15" s="7" t="s">
        <v>198</v>
      </c>
      <c r="K15" s="9"/>
    </row>
    <row r="16" spans="1:14">
      <c r="K16" s="9"/>
    </row>
    <row r="17" spans="1:14">
      <c r="K17" s="9"/>
    </row>
    <row r="18" spans="1:14">
      <c r="A18" s="7" t="s">
        <v>204</v>
      </c>
      <c r="K18" s="12"/>
      <c r="L18" s="13"/>
      <c r="M18" s="13"/>
      <c r="N18" s="13"/>
    </row>
    <row r="19" spans="1:14">
      <c r="A19" s="7" t="s">
        <v>205</v>
      </c>
      <c r="K19" s="9"/>
    </row>
    <row r="20" spans="1:14">
      <c r="A20" s="7" t="s">
        <v>206</v>
      </c>
      <c r="K20" s="10"/>
      <c r="L20" s="11"/>
      <c r="M20" s="11"/>
      <c r="N20" s="11"/>
    </row>
    <row r="21" spans="1:14">
      <c r="A21" s="7" t="s">
        <v>198</v>
      </c>
      <c r="K21" s="10"/>
      <c r="L21" s="11"/>
      <c r="M21" s="11"/>
      <c r="N21" s="11"/>
    </row>
    <row r="22" spans="1:14">
      <c r="A22" s="7" t="s">
        <v>207</v>
      </c>
      <c r="K22" s="9"/>
    </row>
    <row r="23" spans="1:14">
      <c r="A23" s="7" t="s">
        <v>198</v>
      </c>
      <c r="K23" s="9"/>
    </row>
    <row r="24" spans="1:14">
      <c r="A24" s="7" t="s">
        <v>208</v>
      </c>
      <c r="K24" s="12"/>
      <c r="L24" s="13"/>
      <c r="M24" s="13"/>
      <c r="N24" s="13"/>
    </row>
    <row r="25" spans="1:14">
      <c r="A25" s="7" t="s">
        <v>198</v>
      </c>
      <c r="K25" s="12"/>
      <c r="L25" s="13"/>
      <c r="M25" s="13"/>
      <c r="N25" s="13"/>
    </row>
    <row r="26" spans="1:14">
      <c r="A26" s="7" t="s">
        <v>209</v>
      </c>
      <c r="K26" s="10"/>
      <c r="L26" s="11"/>
      <c r="M26" s="11"/>
      <c r="N26" s="11"/>
    </row>
    <row r="27" spans="1:14">
      <c r="A27" s="7" t="s">
        <v>210</v>
      </c>
      <c r="K27" s="12"/>
      <c r="L27" s="13"/>
      <c r="M27" s="13"/>
      <c r="N27" s="13"/>
    </row>
    <row r="28" spans="1:14">
      <c r="A28" s="7" t="s">
        <v>211</v>
      </c>
      <c r="K28" s="14"/>
      <c r="L28" s="15"/>
      <c r="M28" s="15"/>
      <c r="N28" s="15"/>
    </row>
    <row r="29" spans="1:14">
      <c r="A29" s="7" t="s">
        <v>212</v>
      </c>
      <c r="K29" s="9"/>
    </row>
    <row r="30" spans="1:14">
      <c r="A30" s="7" t="s">
        <v>213</v>
      </c>
      <c r="K30" s="9"/>
    </row>
    <row r="31" spans="1:14">
      <c r="A31" s="7" t="s">
        <v>214</v>
      </c>
      <c r="K31" s="9"/>
    </row>
    <row r="32" spans="1:14">
      <c r="A32" s="7" t="s">
        <v>215</v>
      </c>
      <c r="K32" s="10"/>
      <c r="L32" s="11"/>
      <c r="M32" s="11"/>
      <c r="N32" s="11"/>
    </row>
    <row r="33" spans="1:1">
      <c r="A33" s="7" t="s">
        <v>216</v>
      </c>
    </row>
    <row r="34" spans="1:1">
      <c r="A34" s="7" t="s">
        <v>217</v>
      </c>
    </row>
    <row r="35" spans="1:1">
      <c r="A35" s="7" t="s">
        <v>218</v>
      </c>
    </row>
    <row r="36" spans="1:1">
      <c r="A36" s="7" t="s">
        <v>219</v>
      </c>
    </row>
    <row r="37" spans="1:1">
      <c r="A37" s="7" t="s">
        <v>220</v>
      </c>
    </row>
    <row r="38" spans="1:1">
      <c r="A38" s="7" t="s">
        <v>221</v>
      </c>
    </row>
    <row r="39" spans="1:1">
      <c r="A39" s="7" t="s">
        <v>222</v>
      </c>
    </row>
    <row r="40" spans="1:1">
      <c r="A40" s="7" t="s">
        <v>223</v>
      </c>
    </row>
    <row r="42" spans="1:1">
      <c r="A42" s="7" t="s">
        <v>224</v>
      </c>
    </row>
    <row r="43" spans="1:1">
      <c r="A43" s="7" t="s">
        <v>225</v>
      </c>
    </row>
    <row r="44" spans="1:1">
      <c r="A44" s="7" t="s">
        <v>226</v>
      </c>
    </row>
    <row r="45" spans="1:1">
      <c r="A45" s="7" t="s">
        <v>227</v>
      </c>
    </row>
    <row r="46" spans="1:1">
      <c r="A46" s="7" t="s">
        <v>228</v>
      </c>
    </row>
    <row r="47" spans="1:1">
      <c r="A47" s="7" t="s">
        <v>229</v>
      </c>
    </row>
    <row r="50" spans="1:1">
      <c r="A50" s="7" t="s">
        <v>230</v>
      </c>
    </row>
    <row r="51" spans="1:1">
      <c r="A51" s="7" t="s">
        <v>198</v>
      </c>
    </row>
    <row r="53" spans="1:1">
      <c r="A53" s="7" t="s">
        <v>231</v>
      </c>
    </row>
    <row r="54" spans="1:1">
      <c r="A54" s="7" t="s">
        <v>232</v>
      </c>
    </row>
    <row r="55" spans="1:1">
      <c r="A55" s="7" t="s">
        <v>233</v>
      </c>
    </row>
    <row r="56" spans="1:1">
      <c r="A56" s="7" t="s">
        <v>234</v>
      </c>
    </row>
    <row r="57" spans="1:1">
      <c r="A57" s="7" t="s">
        <v>235</v>
      </c>
    </row>
    <row r="58" spans="1:1">
      <c r="A58" s="7" t="s">
        <v>236</v>
      </c>
    </row>
    <row r="60" spans="1:1">
      <c r="A60" s="7" t="s">
        <v>198</v>
      </c>
    </row>
    <row r="62" spans="1:1">
      <c r="A62" s="7" t="s">
        <v>237</v>
      </c>
    </row>
    <row r="64" spans="1:1">
      <c r="A64" s="7" t="s">
        <v>238</v>
      </c>
    </row>
    <row r="65" spans="1:5">
      <c r="A65" s="7" t="s">
        <v>198</v>
      </c>
    </row>
    <row r="66" spans="1:5">
      <c r="A66" s="7" t="s">
        <v>208</v>
      </c>
    </row>
    <row r="67" spans="1:5">
      <c r="A67" s="7" t="s">
        <v>198</v>
      </c>
    </row>
    <row r="68" spans="1:5">
      <c r="A68" s="7" t="s">
        <v>239</v>
      </c>
      <c r="B68" s="3">
        <v>-1.35578648</v>
      </c>
      <c r="C68" s="3">
        <v>2.55820146</v>
      </c>
      <c r="D68">
        <f>B68/C68</f>
        <v>-0.529976431175987</v>
      </c>
    </row>
    <row r="69" spans="1:5">
      <c r="A69" s="7" t="s">
        <v>5</v>
      </c>
      <c r="B69" s="3">
        <v>-8.84780394</v>
      </c>
      <c r="C69" s="3">
        <v>2.99339086</v>
      </c>
      <c r="D69">
        <f t="shared" ref="D69:D82" si="0">B69/C69</f>
        <v>-2.95577970061684</v>
      </c>
      <c r="E69" t="s">
        <v>240</v>
      </c>
    </row>
    <row r="70" spans="1:5">
      <c r="A70" s="7" t="s">
        <v>6</v>
      </c>
      <c r="B70" s="3">
        <v>-0.74585617</v>
      </c>
      <c r="C70" s="3">
        <v>1.32119599</v>
      </c>
      <c r="D70">
        <f t="shared" si="0"/>
        <v>-0.564531057954543</v>
      </c>
    </row>
    <row r="71" spans="1:5">
      <c r="A71" s="7" t="s">
        <v>2</v>
      </c>
      <c r="B71" s="3">
        <v>0.475136019</v>
      </c>
      <c r="C71" s="3">
        <v>1.80819663</v>
      </c>
      <c r="D71">
        <f t="shared" si="0"/>
        <v>0.26276789322409</v>
      </c>
    </row>
    <row r="72" spans="1:5">
      <c r="A72" s="7" t="s">
        <v>7</v>
      </c>
      <c r="B72" s="3">
        <v>0.128735421</v>
      </c>
      <c r="C72" s="3">
        <v>0.027500922</v>
      </c>
      <c r="D72">
        <f t="shared" si="0"/>
        <v>4.68113109080488</v>
      </c>
      <c r="E72" t="s">
        <v>240</v>
      </c>
    </row>
    <row r="73" spans="1:5">
      <c r="A73" s="7" t="s">
        <v>8</v>
      </c>
      <c r="B73" s="3">
        <v>-1.67728525</v>
      </c>
      <c r="C73" s="3">
        <v>1.23442332</v>
      </c>
      <c r="D73">
        <f t="shared" si="0"/>
        <v>-1.35876017799145</v>
      </c>
    </row>
    <row r="74" spans="1:5">
      <c r="A74" s="7" t="s">
        <v>9</v>
      </c>
      <c r="B74" s="3">
        <v>-0.172629657</v>
      </c>
      <c r="C74" s="3">
        <v>0.211308663</v>
      </c>
      <c r="D74">
        <f t="shared" si="0"/>
        <v>-0.816954944246654</v>
      </c>
    </row>
    <row r="75" spans="1:5">
      <c r="A75" s="7" t="s">
        <v>11</v>
      </c>
      <c r="B75" s="3">
        <v>0.672080351</v>
      </c>
      <c r="C75" s="3">
        <v>0.41090793</v>
      </c>
      <c r="D75">
        <f t="shared" si="0"/>
        <v>1.63559839548485</v>
      </c>
    </row>
    <row r="76" spans="1:5">
      <c r="A76" s="7" t="s">
        <v>10</v>
      </c>
      <c r="B76" s="3">
        <v>2.85278144</v>
      </c>
      <c r="C76" s="3">
        <v>1.0586529</v>
      </c>
      <c r="D76">
        <f t="shared" si="0"/>
        <v>2.69472783761325</v>
      </c>
      <c r="E76" t="s">
        <v>240</v>
      </c>
    </row>
    <row r="77" spans="1:5">
      <c r="A77" s="7" t="s">
        <v>12</v>
      </c>
      <c r="B77" s="3">
        <v>-0.300264735</v>
      </c>
      <c r="C77" s="3">
        <v>0.202130245</v>
      </c>
      <c r="D77">
        <f t="shared" si="0"/>
        <v>-1.48550126676985</v>
      </c>
    </row>
    <row r="78" spans="1:5">
      <c r="A78" s="7" t="s">
        <v>13</v>
      </c>
      <c r="B78" s="3">
        <v>3.14484095</v>
      </c>
      <c r="C78" s="3">
        <v>1.33152999</v>
      </c>
      <c r="D78">
        <f t="shared" si="0"/>
        <v>2.36182509865963</v>
      </c>
      <c r="E78" t="s">
        <v>241</v>
      </c>
    </row>
    <row r="79" spans="1:5">
      <c r="A79" s="7" t="s">
        <v>14</v>
      </c>
      <c r="B79" s="3">
        <v>0.301584731</v>
      </c>
      <c r="C79" s="3">
        <v>0.084163195</v>
      </c>
      <c r="D79">
        <f t="shared" si="0"/>
        <v>3.5833327263776</v>
      </c>
      <c r="E79" t="s">
        <v>240</v>
      </c>
    </row>
    <row r="80" spans="1:5">
      <c r="A80" s="7" t="s">
        <v>15</v>
      </c>
      <c r="B80" s="3">
        <v>-1.96588295</v>
      </c>
      <c r="C80" s="3">
        <v>1.3371333</v>
      </c>
      <c r="D80">
        <f t="shared" si="0"/>
        <v>-1.47022211622431</v>
      </c>
    </row>
    <row r="81" spans="1:5">
      <c r="A81" s="7" t="s">
        <v>16</v>
      </c>
      <c r="B81" s="3">
        <v>1.12360422</v>
      </c>
      <c r="C81" s="3">
        <v>0.610250541</v>
      </c>
      <c r="D81">
        <f t="shared" si="0"/>
        <v>1.84121790069826</v>
      </c>
      <c r="E81" t="s">
        <v>242</v>
      </c>
    </row>
    <row r="82" spans="1:5">
      <c r="A82" s="7" t="s">
        <v>243</v>
      </c>
      <c r="B82" s="3">
        <v>8.74630263</v>
      </c>
      <c r="C82" s="3">
        <v>3.98300885</v>
      </c>
      <c r="D82">
        <f t="shared" si="0"/>
        <v>2.19590338846473</v>
      </c>
      <c r="E82" t="s">
        <v>241</v>
      </c>
    </row>
    <row r="83" spans="1:5">
      <c r="B83" s="3"/>
      <c r="C83" s="3"/>
    </row>
    <row r="84" spans="1:5">
      <c r="A84" s="7" t="s">
        <v>244</v>
      </c>
    </row>
    <row r="85" spans="1:5">
      <c r="A85" s="7" t="s">
        <v>245</v>
      </c>
    </row>
    <row r="86" spans="1:5">
      <c r="A86" s="7" t="s">
        <v>198</v>
      </c>
    </row>
    <row r="87" spans="1:5">
      <c r="A87" s="7" t="s">
        <v>246</v>
      </c>
    </row>
    <row r="88" spans="1:5">
      <c r="A88" s="7" t="s">
        <v>247</v>
      </c>
    </row>
    <row r="89" spans="1:5">
      <c r="A89" s="7" t="s">
        <v>248</v>
      </c>
    </row>
    <row r="90" spans="1:5">
      <c r="A90" s="7" t="s">
        <v>249</v>
      </c>
    </row>
    <row r="91" spans="1:5">
      <c r="A91" s="7" t="s">
        <v>250</v>
      </c>
    </row>
    <row r="92" spans="1:5">
      <c r="A92" s="7" t="s">
        <v>251</v>
      </c>
    </row>
    <row r="93" spans="1:5">
      <c r="A93" s="7" t="s">
        <v>252</v>
      </c>
    </row>
    <row r="94" spans="1:5">
      <c r="A94" s="7" t="s">
        <v>253</v>
      </c>
    </row>
    <row r="95" spans="1:5">
      <c r="A95" s="7" t="s">
        <v>254</v>
      </c>
    </row>
    <row r="96" spans="1:5">
      <c r="A96" s="7" t="s">
        <v>255</v>
      </c>
    </row>
    <row r="97" spans="1:1">
      <c r="A97" s="7" t="s">
        <v>256</v>
      </c>
    </row>
    <row r="98" spans="1:1">
      <c r="A98" s="7" t="s">
        <v>257</v>
      </c>
    </row>
    <row r="99" spans="1:1">
      <c r="A99" s="7" t="s">
        <v>258</v>
      </c>
    </row>
    <row r="100" spans="1:1">
      <c r="A100" s="7" t="s">
        <v>259</v>
      </c>
    </row>
    <row r="101" spans="1:1">
      <c r="A101" s="7" t="s">
        <v>260</v>
      </c>
    </row>
    <row r="103" spans="1:1">
      <c r="A103" s="7" t="s">
        <v>261</v>
      </c>
    </row>
    <row r="104" spans="1:1">
      <c r="A104" s="7" t="s">
        <v>262</v>
      </c>
    </row>
    <row r="105" spans="1:1">
      <c r="A105" s="7" t="s">
        <v>263</v>
      </c>
    </row>
    <row r="106" spans="1:1">
      <c r="A106" s="7" t="s">
        <v>264</v>
      </c>
    </row>
    <row r="107" spans="1:1">
      <c r="A107" s="7" t="s">
        <v>265</v>
      </c>
    </row>
    <row r="110" spans="1:1">
      <c r="A110" s="7" t="s">
        <v>266</v>
      </c>
    </row>
    <row r="112" spans="1:1">
      <c r="A112" s="7" t="s">
        <v>238</v>
      </c>
    </row>
    <row r="113" spans="1:5">
      <c r="A113" s="7" t="s">
        <v>198</v>
      </c>
    </row>
    <row r="114" spans="1:5">
      <c r="A114" s="7" t="s">
        <v>208</v>
      </c>
    </row>
    <row r="115" spans="1:5">
      <c r="A115" s="7" t="s">
        <v>198</v>
      </c>
    </row>
    <row r="116" spans="1:5">
      <c r="A116" s="7" t="s">
        <v>239</v>
      </c>
      <c r="B116" s="3">
        <v>16.075484</v>
      </c>
      <c r="C116" s="3">
        <v>7.96449445</v>
      </c>
      <c r="D116">
        <f>B116/C116</f>
        <v>2.01839352151222</v>
      </c>
      <c r="E116" t="s">
        <v>242</v>
      </c>
    </row>
    <row r="117" spans="1:5">
      <c r="A117" s="7" t="s">
        <v>5</v>
      </c>
      <c r="B117" s="3">
        <v>0.047464443</v>
      </c>
      <c r="C117" s="3">
        <v>0.088397216</v>
      </c>
      <c r="D117">
        <f t="shared" ref="D117:D130" si="1">B117/C117</f>
        <v>0.536944998358319</v>
      </c>
    </row>
    <row r="118" spans="1:5">
      <c r="A118" s="7" t="s">
        <v>6</v>
      </c>
      <c r="B118" s="3">
        <v>2.7774487</v>
      </c>
      <c r="C118" s="3">
        <v>1.00606688</v>
      </c>
      <c r="D118">
        <f t="shared" si="1"/>
        <v>2.7606998652018</v>
      </c>
      <c r="E118" t="s">
        <v>241</v>
      </c>
    </row>
    <row r="119" spans="1:5">
      <c r="A119" s="7" t="s">
        <v>2</v>
      </c>
      <c r="B119" s="3">
        <v>-6.63836678</v>
      </c>
      <c r="C119" s="3">
        <v>3.26664529</v>
      </c>
      <c r="D119">
        <f t="shared" si="1"/>
        <v>-2.03216639416641</v>
      </c>
      <c r="E119" t="s">
        <v>242</v>
      </c>
    </row>
    <row r="120" spans="1:5">
      <c r="A120" s="7" t="s">
        <v>7</v>
      </c>
      <c r="B120" s="3">
        <v>0.327298335</v>
      </c>
      <c r="C120" s="3">
        <v>0.105765282</v>
      </c>
      <c r="D120">
        <f t="shared" si="1"/>
        <v>3.09457251766227</v>
      </c>
      <c r="E120" t="s">
        <v>240</v>
      </c>
    </row>
    <row r="121" spans="1:5">
      <c r="A121" s="7" t="s">
        <v>8</v>
      </c>
      <c r="B121" s="3">
        <v>-13.9755773</v>
      </c>
      <c r="C121" s="3">
        <v>4.69790665</v>
      </c>
      <c r="D121">
        <f t="shared" si="1"/>
        <v>-2.97485206522782</v>
      </c>
      <c r="E121" t="s">
        <v>240</v>
      </c>
    </row>
    <row r="122" spans="1:5">
      <c r="A122" s="7" t="s">
        <v>9</v>
      </c>
      <c r="B122" s="3">
        <v>-0.215581208</v>
      </c>
      <c r="C122" s="3">
        <v>0.078275213</v>
      </c>
      <c r="D122">
        <f t="shared" si="1"/>
        <v>-2.75414399702751</v>
      </c>
      <c r="E122" t="s">
        <v>241</v>
      </c>
    </row>
    <row r="123" spans="1:5">
      <c r="A123" s="7" t="s">
        <v>11</v>
      </c>
      <c r="B123" s="3">
        <v>0.837057736</v>
      </c>
      <c r="C123" s="3">
        <v>0.532626705</v>
      </c>
      <c r="D123">
        <f t="shared" si="1"/>
        <v>1.57156546628656</v>
      </c>
    </row>
    <row r="124" spans="1:5">
      <c r="A124" s="7" t="s">
        <v>10</v>
      </c>
      <c r="B124" s="3">
        <v>-3.60178285</v>
      </c>
      <c r="C124" s="3">
        <v>2.18534164</v>
      </c>
      <c r="D124">
        <f t="shared" si="1"/>
        <v>-1.64815550304528</v>
      </c>
    </row>
    <row r="125" spans="1:5">
      <c r="A125" s="7" t="s">
        <v>12</v>
      </c>
      <c r="B125" s="3">
        <v>0.536311785</v>
      </c>
      <c r="C125" s="3">
        <v>0.269546436</v>
      </c>
      <c r="D125">
        <f t="shared" si="1"/>
        <v>1.98968234549389</v>
      </c>
      <c r="E125" t="s">
        <v>242</v>
      </c>
    </row>
    <row r="126" spans="1:5">
      <c r="A126" s="7" t="s">
        <v>13</v>
      </c>
      <c r="B126" s="3">
        <v>-8.8683026</v>
      </c>
      <c r="C126" s="3">
        <v>2.73247696</v>
      </c>
      <c r="D126">
        <f t="shared" si="1"/>
        <v>-3.24551779569259</v>
      </c>
      <c r="E126" t="s">
        <v>240</v>
      </c>
    </row>
    <row r="127" spans="1:5">
      <c r="A127" s="7" t="s">
        <v>14</v>
      </c>
      <c r="B127" s="3">
        <v>0.307468929</v>
      </c>
      <c r="C127" s="3">
        <v>0.08316753</v>
      </c>
      <c r="D127">
        <f t="shared" si="1"/>
        <v>3.69698281288383</v>
      </c>
      <c r="E127" t="s">
        <v>240</v>
      </c>
    </row>
    <row r="128" spans="1:5">
      <c r="A128" s="7" t="s">
        <v>15</v>
      </c>
      <c r="B128" s="3">
        <v>-0.667990821</v>
      </c>
      <c r="C128" s="3">
        <v>1.46302217</v>
      </c>
      <c r="D128">
        <f t="shared" si="1"/>
        <v>-0.456582842486932</v>
      </c>
    </row>
    <row r="129" spans="1:4">
      <c r="A129" s="7" t="s">
        <v>16</v>
      </c>
      <c r="B129" s="3">
        <v>0.657270941</v>
      </c>
      <c r="C129" s="3">
        <v>0.734060754</v>
      </c>
      <c r="D129">
        <f t="shared" si="1"/>
        <v>0.895390384812754</v>
      </c>
    </row>
    <row r="130" spans="1:4">
      <c r="A130" s="7" t="s">
        <v>243</v>
      </c>
      <c r="B130" s="3">
        <v>6.65827945</v>
      </c>
      <c r="C130" s="3">
        <v>14.9094618</v>
      </c>
      <c r="D130">
        <f t="shared" si="1"/>
        <v>0.446580804814832</v>
      </c>
    </row>
    <row r="131" spans="1:4">
      <c r="B131" s="3"/>
      <c r="C131" s="3"/>
    </row>
    <row r="132" spans="1:4">
      <c r="A132" s="7" t="s">
        <v>244</v>
      </c>
    </row>
    <row r="133" spans="1:4">
      <c r="A133" s="7" t="s">
        <v>267</v>
      </c>
    </row>
    <row r="134" spans="1:4">
      <c r="A134" s="7" t="s">
        <v>198</v>
      </c>
    </row>
    <row r="135" spans="1:4">
      <c r="A135" s="7" t="s">
        <v>268</v>
      </c>
    </row>
    <row r="136" spans="1:4">
      <c r="A136" s="7" t="s">
        <v>269</v>
      </c>
    </row>
    <row r="137" spans="1:4">
      <c r="A137" s="7" t="s">
        <v>270</v>
      </c>
    </row>
    <row r="138" spans="1:4">
      <c r="A138" s="7" t="s">
        <v>271</v>
      </c>
    </row>
    <row r="139" spans="1:4">
      <c r="A139" s="7" t="s">
        <v>272</v>
      </c>
    </row>
    <row r="140" spans="1:4">
      <c r="A140" s="7" t="s">
        <v>273</v>
      </c>
    </row>
    <row r="141" spans="1:4">
      <c r="A141" s="7" t="s">
        <v>274</v>
      </c>
    </row>
    <row r="142" spans="1:4">
      <c r="A142" s="7" t="s">
        <v>275</v>
      </c>
    </row>
    <row r="143" spans="1:4">
      <c r="A143" s="7" t="s">
        <v>276</v>
      </c>
    </row>
    <row r="144" spans="1:4">
      <c r="A144" s="7" t="s">
        <v>277</v>
      </c>
    </row>
    <row r="145" spans="1:1">
      <c r="A145" s="7" t="s">
        <v>278</v>
      </c>
    </row>
    <row r="146" spans="1:1">
      <c r="A146" s="7" t="s">
        <v>279</v>
      </c>
    </row>
    <row r="147" spans="1:1">
      <c r="A147" s="7" t="s">
        <v>280</v>
      </c>
    </row>
    <row r="148" spans="1:1">
      <c r="A148" s="7" t="s">
        <v>281</v>
      </c>
    </row>
    <row r="149" spans="1:1">
      <c r="A149" s="7" t="s">
        <v>282</v>
      </c>
    </row>
    <row r="151" spans="1:1">
      <c r="A151" s="7" t="s">
        <v>283</v>
      </c>
    </row>
    <row r="152" spans="1:1">
      <c r="A152" s="7" t="s">
        <v>284</v>
      </c>
    </row>
    <row r="153" spans="1:1">
      <c r="A153" s="7" t="s">
        <v>285</v>
      </c>
    </row>
    <row r="154" spans="1:1">
      <c r="A154" s="7" t="s">
        <v>286</v>
      </c>
    </row>
    <row r="155" spans="1:1">
      <c r="A155" s="7" t="s">
        <v>287</v>
      </c>
    </row>
    <row r="157" spans="1:1">
      <c r="A157" s="7" t="s">
        <v>288</v>
      </c>
    </row>
    <row r="159" spans="1:1">
      <c r="A159" s="7" t="s">
        <v>288</v>
      </c>
    </row>
    <row r="160" spans="1:1">
      <c r="A160" t="s">
        <v>288</v>
      </c>
    </row>
    <row r="161" spans="1:1">
      <c r="A161" t="s">
        <v>289</v>
      </c>
    </row>
    <row r="162" spans="1:1">
      <c r="A162" t="s">
        <v>290</v>
      </c>
    </row>
    <row r="163" spans="1:1">
      <c r="A163"/>
    </row>
    <row r="164" spans="1:1">
      <c r="A164" t="s">
        <v>291</v>
      </c>
    </row>
    <row r="165" spans="1:1">
      <c r="A165" t="s">
        <v>292</v>
      </c>
    </row>
    <row r="166" spans="1:1">
      <c r="A166" t="s">
        <v>293</v>
      </c>
    </row>
    <row r="167" spans="1:1">
      <c r="A167" t="s">
        <v>195</v>
      </c>
    </row>
    <row r="168" spans="1:1">
      <c r="A168" t="s">
        <v>195</v>
      </c>
    </row>
    <row r="169" spans="1:1">
      <c r="A169" t="s">
        <v>196</v>
      </c>
    </row>
    <row r="170" spans="1:1">
      <c r="A170" t="s">
        <v>197</v>
      </c>
    </row>
    <row r="171" spans="1:1">
      <c r="A171" t="s">
        <v>195</v>
      </c>
    </row>
    <row r="172" spans="1:1">
      <c r="A172" t="s">
        <v>198</v>
      </c>
    </row>
    <row r="173" spans="1:1">
      <c r="A173" t="s">
        <v>199</v>
      </c>
    </row>
    <row r="174" spans="1:1">
      <c r="A174" t="s">
        <v>200</v>
      </c>
    </row>
    <row r="175" spans="1:1">
      <c r="A175" t="s">
        <v>195</v>
      </c>
    </row>
    <row r="176" spans="1:1">
      <c r="A176" t="s">
        <v>294</v>
      </c>
    </row>
    <row r="177" spans="1:1">
      <c r="A177" t="s">
        <v>295</v>
      </c>
    </row>
    <row r="178" spans="1:1">
      <c r="A178" t="s">
        <v>296</v>
      </c>
    </row>
    <row r="179" spans="1:1">
      <c r="A179" t="s">
        <v>198</v>
      </c>
    </row>
    <row r="180" spans="1:1">
      <c r="A18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4"/>
  <sheetViews>
    <sheetView workbookViewId="0">
      <selection activeCell="C158" sqref="C158"/>
    </sheetView>
  </sheetViews>
  <sheetFormatPr defaultColWidth="9" defaultRowHeight="13.5"/>
  <cols>
    <col min="2" max="2" width="13.75"/>
    <col min="3" max="3" width="12.625"/>
    <col min="4" max="4" width="13.75"/>
    <col min="9" max="9" width="13.75"/>
    <col min="10" max="10" width="12.625"/>
    <col min="11" max="11" width="13.75"/>
    <col min="19" max="19" width="13.75"/>
    <col min="20" max="20" width="12.625"/>
    <col min="21" max="21" width="13.75"/>
  </cols>
  <sheetData>
    <row r="1" spans="1:8">
      <c r="A1" t="s">
        <v>297</v>
      </c>
    </row>
    <row r="2" spans="1:8">
      <c r="A2" s="1" t="s">
        <v>298</v>
      </c>
      <c r="H2" s="1"/>
    </row>
    <row r="3" spans="1:8">
      <c r="A3" t="s">
        <v>299</v>
      </c>
    </row>
    <row r="4" spans="1:8">
      <c r="A4" t="s">
        <v>195</v>
      </c>
    </row>
    <row r="5" spans="1:8">
      <c r="A5" t="s">
        <v>195</v>
      </c>
    </row>
    <row r="6" spans="1:8">
      <c r="A6" t="s">
        <v>196</v>
      </c>
    </row>
    <row r="7" spans="1:8">
      <c r="A7" t="s">
        <v>197</v>
      </c>
    </row>
    <row r="8" spans="1:8">
      <c r="A8" t="s">
        <v>195</v>
      </c>
    </row>
    <row r="9" spans="1:8">
      <c r="A9" t="s">
        <v>198</v>
      </c>
    </row>
    <row r="10" spans="1:8">
      <c r="A10" t="s">
        <v>199</v>
      </c>
    </row>
    <row r="11" spans="1:8">
      <c r="A11" t="s">
        <v>200</v>
      </c>
    </row>
    <row r="12" spans="1:8">
      <c r="A12" t="s">
        <v>195</v>
      </c>
    </row>
    <row r="13" spans="1:8">
      <c r="A13" t="s">
        <v>300</v>
      </c>
    </row>
    <row r="14" spans="1:8">
      <c r="A14" t="s">
        <v>301</v>
      </c>
    </row>
    <row r="15" spans="1:8">
      <c r="A15" t="s">
        <v>302</v>
      </c>
    </row>
    <row r="16" spans="1:8">
      <c r="A16" t="s">
        <v>198</v>
      </c>
    </row>
    <row r="19" spans="1:1">
      <c r="A19" t="s">
        <v>303</v>
      </c>
    </row>
    <row r="20" spans="1:1">
      <c r="A20" t="s">
        <v>304</v>
      </c>
    </row>
    <row r="21" spans="1:1">
      <c r="A21" t="s">
        <v>206</v>
      </c>
    </row>
    <row r="22" spans="1:1">
      <c r="A22" t="s">
        <v>198</v>
      </c>
    </row>
    <row r="23" spans="1:1">
      <c r="A23" t="s">
        <v>207</v>
      </c>
    </row>
    <row r="24" spans="1:1">
      <c r="A24" t="s">
        <v>198</v>
      </c>
    </row>
    <row r="25" spans="1:1">
      <c r="A25" t="s">
        <v>208</v>
      </c>
    </row>
    <row r="26" spans="1:1">
      <c r="A26" t="s">
        <v>198</v>
      </c>
    </row>
    <row r="27" spans="1:1">
      <c r="A27" t="s">
        <v>305</v>
      </c>
    </row>
    <row r="28" spans="1:1">
      <c r="A28" t="s">
        <v>306</v>
      </c>
    </row>
    <row r="29" spans="1:1">
      <c r="A29" t="s">
        <v>307</v>
      </c>
    </row>
    <row r="30" spans="1:1">
      <c r="A30" t="s">
        <v>308</v>
      </c>
    </row>
    <row r="31" spans="1:1">
      <c r="A31" t="s">
        <v>309</v>
      </c>
    </row>
    <row r="32" spans="1:1">
      <c r="A32" t="s">
        <v>310</v>
      </c>
    </row>
    <row r="33" spans="1:1">
      <c r="A33" t="s">
        <v>311</v>
      </c>
    </row>
    <row r="34" spans="1:1">
      <c r="A34" t="s">
        <v>312</v>
      </c>
    </row>
    <row r="35" spans="1:1">
      <c r="A35" t="s">
        <v>313</v>
      </c>
    </row>
    <row r="36" spans="1:1">
      <c r="A36" t="s">
        <v>314</v>
      </c>
    </row>
    <row r="37" spans="1:1">
      <c r="A37" t="s">
        <v>315</v>
      </c>
    </row>
    <row r="38" spans="1:1">
      <c r="A38" t="s">
        <v>316</v>
      </c>
    </row>
    <row r="39" spans="1:1">
      <c r="A39" t="s">
        <v>317</v>
      </c>
    </row>
    <row r="40" spans="1:1">
      <c r="A40" t="s">
        <v>318</v>
      </c>
    </row>
    <row r="41" spans="1:1">
      <c r="A41" t="s">
        <v>319</v>
      </c>
    </row>
    <row r="43" spans="1:1">
      <c r="A43" t="s">
        <v>224</v>
      </c>
    </row>
    <row r="44" spans="1:1">
      <c r="A44" t="s">
        <v>225</v>
      </c>
    </row>
    <row r="45" spans="1:1">
      <c r="A45" t="s">
        <v>320</v>
      </c>
    </row>
    <row r="46" spans="1:1">
      <c r="A46" t="s">
        <v>321</v>
      </c>
    </row>
    <row r="47" spans="1:1">
      <c r="A47" t="s">
        <v>322</v>
      </c>
    </row>
    <row r="48" spans="1:1">
      <c r="A48" t="s">
        <v>323</v>
      </c>
    </row>
    <row r="51" spans="1:4">
      <c r="A51" t="s">
        <v>230</v>
      </c>
    </row>
    <row r="52" spans="1:4">
      <c r="A52" t="s">
        <v>198</v>
      </c>
    </row>
    <row r="54" spans="1:4">
      <c r="A54" t="s">
        <v>324</v>
      </c>
    </row>
    <row r="55" spans="1:4">
      <c r="A55" t="s">
        <v>325</v>
      </c>
    </row>
    <row r="56" spans="1:4">
      <c r="A56" t="s">
        <v>326</v>
      </c>
    </row>
    <row r="57" spans="1:4">
      <c r="A57" t="s">
        <v>327</v>
      </c>
      <c r="D57" s="2"/>
    </row>
    <row r="58" spans="1:4">
      <c r="A58" t="s">
        <v>328</v>
      </c>
    </row>
    <row r="59" spans="1:4">
      <c r="A59" t="s">
        <v>329</v>
      </c>
    </row>
    <row r="61" spans="1:4">
      <c r="A61" t="s">
        <v>198</v>
      </c>
    </row>
    <row r="63" spans="1:4">
      <c r="A63" t="s">
        <v>330</v>
      </c>
      <c r="D63" s="2"/>
    </row>
    <row r="64" spans="1:4">
      <c r="D64" s="2"/>
    </row>
    <row r="65" spans="1:20">
      <c r="A65" t="s">
        <v>238</v>
      </c>
    </row>
    <row r="66" spans="1:20">
      <c r="A66" t="s">
        <v>198</v>
      </c>
      <c r="D66" s="2"/>
    </row>
    <row r="67" spans="1:20">
      <c r="A67" t="s">
        <v>208</v>
      </c>
      <c r="B67" s="2"/>
      <c r="C67" s="2"/>
      <c r="D67" s="2"/>
      <c r="I67" s="2"/>
    </row>
    <row r="68" spans="1:20">
      <c r="A68" t="s">
        <v>198</v>
      </c>
    </row>
    <row r="69" spans="1:20">
      <c r="A69" t="s">
        <v>239</v>
      </c>
      <c r="B69" s="3">
        <v>-4.36868592</v>
      </c>
      <c r="C69" s="3">
        <v>2.11304293</v>
      </c>
      <c r="D69" s="3">
        <f>B69/C69</f>
        <v>-2.06748564261304</v>
      </c>
      <c r="E69" t="s">
        <v>241</v>
      </c>
    </row>
    <row r="70" spans="1:20">
      <c r="A70" t="s">
        <v>4</v>
      </c>
      <c r="B70" s="3">
        <v>-0.225457424</v>
      </c>
      <c r="C70" s="3">
        <v>0.52287534</v>
      </c>
      <c r="D70" s="3">
        <f t="shared" ref="D70:D83" si="0">B70/C70</f>
        <v>-0.431187716750995</v>
      </c>
      <c r="I70" s="2"/>
    </row>
    <row r="71" spans="1:20">
      <c r="A71" t="s">
        <v>6</v>
      </c>
      <c r="B71" s="3">
        <v>-1.19956343</v>
      </c>
      <c r="C71" s="3">
        <v>1.51418908</v>
      </c>
      <c r="D71" s="3">
        <f t="shared" si="0"/>
        <v>-0.792215084525639</v>
      </c>
    </row>
    <row r="72" spans="1:20">
      <c r="A72" t="s">
        <v>2</v>
      </c>
      <c r="B72" s="3">
        <v>1.3417626</v>
      </c>
      <c r="C72" s="3">
        <v>1.67565344</v>
      </c>
      <c r="D72" s="3">
        <f t="shared" si="0"/>
        <v>0.80073991910881</v>
      </c>
    </row>
    <row r="73" spans="1:20">
      <c r="A73" t="s">
        <v>7</v>
      </c>
      <c r="B73" s="3">
        <v>0.104442947</v>
      </c>
      <c r="C73" s="3">
        <v>0.029360911</v>
      </c>
      <c r="D73" s="3">
        <f t="shared" si="0"/>
        <v>3.55721070780127</v>
      </c>
      <c r="E73" t="s">
        <v>240</v>
      </c>
    </row>
    <row r="74" spans="1:20">
      <c r="A74" t="s">
        <v>8</v>
      </c>
      <c r="B74" s="3">
        <v>-1.27407649</v>
      </c>
      <c r="C74" s="3">
        <v>1.1779597</v>
      </c>
      <c r="D74" s="3">
        <f t="shared" si="0"/>
        <v>-1.08159599178138</v>
      </c>
      <c r="I74" s="2"/>
    </row>
    <row r="75" spans="1:20">
      <c r="A75" t="s">
        <v>9</v>
      </c>
      <c r="B75" s="3">
        <v>-0.264531133</v>
      </c>
      <c r="C75" s="3">
        <v>0.251416606</v>
      </c>
      <c r="D75" s="3">
        <f t="shared" si="0"/>
        <v>-1.05216253297127</v>
      </c>
    </row>
    <row r="76" spans="1:20">
      <c r="A76" t="s">
        <v>11</v>
      </c>
      <c r="B76" s="3">
        <v>0.582919317</v>
      </c>
      <c r="C76" s="3">
        <v>0.456465868</v>
      </c>
      <c r="D76" s="3">
        <f t="shared" si="0"/>
        <v>1.27702717303717</v>
      </c>
    </row>
    <row r="77" spans="1:20">
      <c r="A77" t="s">
        <v>10</v>
      </c>
      <c r="B77" s="3">
        <v>2.5268617</v>
      </c>
      <c r="C77" s="3">
        <v>1.09725274</v>
      </c>
      <c r="D77" s="3">
        <f t="shared" si="0"/>
        <v>2.30289850996408</v>
      </c>
      <c r="E77" t="s">
        <v>241</v>
      </c>
    </row>
    <row r="78" spans="1:20">
      <c r="A78" t="s">
        <v>12</v>
      </c>
      <c r="B78" s="3">
        <v>-0.359338509</v>
      </c>
      <c r="C78" s="3">
        <v>0.185802669</v>
      </c>
      <c r="D78" s="3">
        <f t="shared" si="0"/>
        <v>-1.93397926377473</v>
      </c>
      <c r="E78" t="s">
        <v>242</v>
      </c>
      <c r="I78" s="2"/>
      <c r="J78" s="4"/>
      <c r="T78" s="4"/>
    </row>
    <row r="79" spans="1:20">
      <c r="A79" t="s">
        <v>13</v>
      </c>
      <c r="B79" s="3">
        <v>4.2204641</v>
      </c>
      <c r="C79" s="3">
        <v>1.42863078</v>
      </c>
      <c r="D79" s="3">
        <f t="shared" si="0"/>
        <v>2.95420213471811</v>
      </c>
      <c r="E79" t="s">
        <v>240</v>
      </c>
    </row>
    <row r="80" spans="1:20">
      <c r="A80" t="s">
        <v>14</v>
      </c>
      <c r="B80" s="3">
        <v>0.281732645</v>
      </c>
      <c r="C80" s="3">
        <v>0.082026999</v>
      </c>
      <c r="D80" s="3">
        <f t="shared" si="0"/>
        <v>3.43463308952702</v>
      </c>
      <c r="E80" t="s">
        <v>240</v>
      </c>
    </row>
    <row r="81" spans="1:5">
      <c r="A81" t="s">
        <v>15</v>
      </c>
      <c r="B81" s="3">
        <v>0.345638033</v>
      </c>
      <c r="C81" s="3">
        <v>1.84121104</v>
      </c>
      <c r="D81" s="3">
        <f t="shared" si="0"/>
        <v>0.187723202550426</v>
      </c>
    </row>
    <row r="82" spans="1:5">
      <c r="A82" t="s">
        <v>16</v>
      </c>
      <c r="B82" s="3">
        <v>1.66005528</v>
      </c>
      <c r="C82" s="3">
        <v>0.466630881</v>
      </c>
      <c r="D82" s="3">
        <f t="shared" si="0"/>
        <v>3.55753411870742</v>
      </c>
      <c r="E82" t="s">
        <v>240</v>
      </c>
    </row>
    <row r="83" spans="1:5">
      <c r="A83" t="s">
        <v>243</v>
      </c>
      <c r="B83" s="3">
        <v>14.2171918</v>
      </c>
      <c r="C83" s="3">
        <v>4.0145103</v>
      </c>
      <c r="D83" s="3">
        <f t="shared" si="0"/>
        <v>3.54145107063245</v>
      </c>
      <c r="E83" t="s">
        <v>240</v>
      </c>
    </row>
    <row r="85" spans="1:5">
      <c r="A85" t="s">
        <v>244</v>
      </c>
    </row>
    <row r="86" spans="1:5">
      <c r="A86" t="s">
        <v>245</v>
      </c>
    </row>
    <row r="87" spans="1:5">
      <c r="A87" t="s">
        <v>198</v>
      </c>
    </row>
    <row r="88" spans="1:5">
      <c r="A88" t="s">
        <v>331</v>
      </c>
    </row>
    <row r="89" spans="1:5">
      <c r="A89" t="s">
        <v>332</v>
      </c>
    </row>
    <row r="90" spans="1:5">
      <c r="A90" t="s">
        <v>333</v>
      </c>
    </row>
    <row r="91" spans="1:5">
      <c r="A91" t="s">
        <v>334</v>
      </c>
    </row>
    <row r="92" spans="1:5">
      <c r="A92" t="s">
        <v>335</v>
      </c>
    </row>
    <row r="93" spans="1:5">
      <c r="A93" t="s">
        <v>336</v>
      </c>
    </row>
    <row r="94" spans="1:5">
      <c r="A94" t="s">
        <v>337</v>
      </c>
    </row>
    <row r="95" spans="1:5">
      <c r="A95" t="s">
        <v>338</v>
      </c>
    </row>
    <row r="96" spans="1:5">
      <c r="A96" t="s">
        <v>339</v>
      </c>
    </row>
    <row r="97" spans="1:4">
      <c r="A97" t="s">
        <v>340</v>
      </c>
    </row>
    <row r="98" spans="1:4">
      <c r="A98" t="s">
        <v>341</v>
      </c>
    </row>
    <row r="99" spans="1:4">
      <c r="A99" t="s">
        <v>342</v>
      </c>
    </row>
    <row r="100" spans="1:4">
      <c r="A100" t="s">
        <v>343</v>
      </c>
    </row>
    <row r="101" spans="1:4">
      <c r="A101" t="s">
        <v>344</v>
      </c>
    </row>
    <row r="102" spans="1:4">
      <c r="A102" t="s">
        <v>345</v>
      </c>
    </row>
    <row r="104" spans="1:4">
      <c r="A104" t="s">
        <v>346</v>
      </c>
    </row>
    <row r="105" spans="1:4">
      <c r="A105" t="s">
        <v>347</v>
      </c>
      <c r="D105" s="2"/>
    </row>
    <row r="106" spans="1:4">
      <c r="A106" t="s">
        <v>348</v>
      </c>
    </row>
    <row r="107" spans="1:4">
      <c r="A107" t="s">
        <v>349</v>
      </c>
      <c r="D107" s="2"/>
    </row>
    <row r="108" spans="1:4">
      <c r="A108" t="s">
        <v>350</v>
      </c>
    </row>
    <row r="111" spans="1:4">
      <c r="A111" t="s">
        <v>351</v>
      </c>
    </row>
    <row r="112" spans="1:4">
      <c r="D112" s="2"/>
    </row>
    <row r="113" spans="1:20">
      <c r="A113" t="s">
        <v>238</v>
      </c>
      <c r="B113" s="2"/>
      <c r="C113" s="2"/>
      <c r="D113" s="5"/>
    </row>
    <row r="114" spans="1:20">
      <c r="A114" t="s">
        <v>198</v>
      </c>
      <c r="D114" s="2"/>
    </row>
    <row r="115" spans="1:20">
      <c r="A115" t="s">
        <v>208</v>
      </c>
      <c r="I115" s="2"/>
    </row>
    <row r="116" spans="1:20">
      <c r="A116" t="s">
        <v>198</v>
      </c>
      <c r="D116" s="5"/>
      <c r="I116" s="5"/>
    </row>
    <row r="117" spans="1:20">
      <c r="A117" t="s">
        <v>239</v>
      </c>
      <c r="B117" s="3">
        <v>2.20648543</v>
      </c>
      <c r="C117" s="3">
        <v>7.86649292</v>
      </c>
      <c r="D117" s="3">
        <f>B117/C117</f>
        <v>0.28049163107872</v>
      </c>
      <c r="I117" s="2"/>
    </row>
    <row r="118" spans="1:20">
      <c r="A118" t="s">
        <v>4</v>
      </c>
      <c r="B118" s="3">
        <v>5.94124676</v>
      </c>
      <c r="C118" s="3">
        <v>3.75638255</v>
      </c>
      <c r="D118" s="3">
        <f t="shared" ref="D118:D131" si="1">B118/C118</f>
        <v>1.5816404961204</v>
      </c>
      <c r="I118" s="2"/>
    </row>
    <row r="119" spans="1:20">
      <c r="A119" t="s">
        <v>6</v>
      </c>
      <c r="B119" s="3">
        <v>2.35929197</v>
      </c>
      <c r="C119" s="3">
        <v>1.32481091</v>
      </c>
      <c r="D119" s="3">
        <f t="shared" si="1"/>
        <v>1.78085185756811</v>
      </c>
      <c r="E119" t="s">
        <v>242</v>
      </c>
      <c r="I119" s="2"/>
    </row>
    <row r="120" spans="1:20">
      <c r="A120" t="s">
        <v>2</v>
      </c>
      <c r="B120" s="3">
        <v>-2.57613124</v>
      </c>
      <c r="C120" s="3">
        <v>3.03205163</v>
      </c>
      <c r="D120" s="3">
        <f t="shared" si="1"/>
        <v>-0.849633038735557</v>
      </c>
      <c r="I120" s="2"/>
    </row>
    <row r="121" spans="1:20">
      <c r="A121" t="s">
        <v>7</v>
      </c>
      <c r="B121" s="3">
        <v>0.292577351</v>
      </c>
      <c r="C121" s="3">
        <v>0.118158983</v>
      </c>
      <c r="D121" s="3">
        <f t="shared" si="1"/>
        <v>2.47613294877462</v>
      </c>
      <c r="E121" t="s">
        <v>241</v>
      </c>
    </row>
    <row r="122" spans="1:20">
      <c r="A122" t="s">
        <v>8</v>
      </c>
      <c r="B122" s="3">
        <v>-6.932657</v>
      </c>
      <c r="C122" s="3">
        <v>3.15682178</v>
      </c>
      <c r="D122" s="3">
        <f t="shared" si="1"/>
        <v>-2.19608754726724</v>
      </c>
      <c r="E122" t="s">
        <v>241</v>
      </c>
      <c r="I122" s="2"/>
    </row>
    <row r="123" spans="1:20">
      <c r="A123" t="s">
        <v>9</v>
      </c>
      <c r="B123" s="3">
        <v>-0.132421807</v>
      </c>
      <c r="C123" s="3">
        <v>0.067795545</v>
      </c>
      <c r="D123" s="3">
        <f t="shared" si="1"/>
        <v>-1.95325234128585</v>
      </c>
      <c r="E123" t="s">
        <v>242</v>
      </c>
    </row>
    <row r="124" spans="1:20">
      <c r="A124" t="s">
        <v>11</v>
      </c>
      <c r="B124" s="3">
        <v>0.967109774</v>
      </c>
      <c r="C124" s="3">
        <v>0.340129742</v>
      </c>
      <c r="D124" s="3">
        <f t="shared" si="1"/>
        <v>2.84335550402999</v>
      </c>
      <c r="E124" t="s">
        <v>240</v>
      </c>
      <c r="I124" s="6"/>
      <c r="J124" s="4"/>
      <c r="S124" s="4"/>
      <c r="T124" s="4"/>
    </row>
    <row r="125" spans="1:20">
      <c r="A125" t="s">
        <v>10</v>
      </c>
      <c r="B125" s="3">
        <v>-1.50868687</v>
      </c>
      <c r="C125" s="3">
        <v>1.41562505</v>
      </c>
      <c r="D125" s="3">
        <f t="shared" si="1"/>
        <v>-1.06573903167368</v>
      </c>
      <c r="I125" s="2"/>
    </row>
    <row r="126" spans="1:20">
      <c r="A126" t="s">
        <v>12</v>
      </c>
      <c r="B126" s="3">
        <v>-0.079181957</v>
      </c>
      <c r="C126" s="3">
        <v>0.187484706</v>
      </c>
      <c r="D126" s="3">
        <f t="shared" si="1"/>
        <v>-0.422338219950592</v>
      </c>
    </row>
    <row r="127" spans="1:20">
      <c r="A127" t="s">
        <v>13</v>
      </c>
      <c r="B127" s="3">
        <v>-2.92907421</v>
      </c>
      <c r="C127" s="3">
        <v>1.47324609</v>
      </c>
      <c r="D127" s="3">
        <f t="shared" si="1"/>
        <v>-1.98817714832693</v>
      </c>
      <c r="E127" t="s">
        <v>242</v>
      </c>
    </row>
    <row r="128" spans="1:20">
      <c r="A128" t="s">
        <v>14</v>
      </c>
      <c r="B128" s="3">
        <v>0.199116701</v>
      </c>
      <c r="C128" s="3">
        <v>0.072005505</v>
      </c>
      <c r="D128" s="3">
        <f t="shared" si="1"/>
        <v>2.76529830601146</v>
      </c>
      <c r="E128" t="s">
        <v>240</v>
      </c>
    </row>
    <row r="129" spans="1:4">
      <c r="A129" t="s">
        <v>15</v>
      </c>
      <c r="B129" s="3">
        <v>-1.3331083</v>
      </c>
      <c r="C129" s="3">
        <v>0.840596857</v>
      </c>
      <c r="D129" s="3">
        <f t="shared" si="1"/>
        <v>-1.58590683381534</v>
      </c>
    </row>
    <row r="130" spans="1:4">
      <c r="A130" t="s">
        <v>16</v>
      </c>
      <c r="B130" s="3">
        <v>0.744535182</v>
      </c>
      <c r="C130" s="3">
        <v>0.625692307</v>
      </c>
      <c r="D130" s="3">
        <f t="shared" si="1"/>
        <v>1.18993820711943</v>
      </c>
    </row>
    <row r="131" spans="1:4">
      <c r="A131" t="s">
        <v>243</v>
      </c>
      <c r="B131" s="3">
        <v>-18.8290907</v>
      </c>
      <c r="C131" s="3">
        <v>11.6441254</v>
      </c>
      <c r="D131" s="3">
        <f t="shared" si="1"/>
        <v>-1.61704636915023</v>
      </c>
    </row>
    <row r="133" spans="1:4">
      <c r="A133" t="s">
        <v>244</v>
      </c>
    </row>
    <row r="134" spans="1:4">
      <c r="A134" t="s">
        <v>267</v>
      </c>
    </row>
    <row r="135" spans="1:4">
      <c r="A135" t="s">
        <v>198</v>
      </c>
    </row>
    <row r="136" spans="1:4">
      <c r="A136" t="s">
        <v>352</v>
      </c>
    </row>
    <row r="137" spans="1:4">
      <c r="A137" t="s">
        <v>353</v>
      </c>
    </row>
    <row r="138" spans="1:4">
      <c r="A138" t="s">
        <v>354</v>
      </c>
    </row>
    <row r="139" spans="1:4">
      <c r="A139" t="s">
        <v>355</v>
      </c>
    </row>
    <row r="140" spans="1:4">
      <c r="A140" t="s">
        <v>356</v>
      </c>
    </row>
    <row r="141" spans="1:4">
      <c r="A141" t="s">
        <v>357</v>
      </c>
    </row>
    <row r="142" spans="1:4">
      <c r="A142" t="s">
        <v>358</v>
      </c>
    </row>
    <row r="143" spans="1:4">
      <c r="A143" t="s">
        <v>359</v>
      </c>
    </row>
    <row r="144" spans="1:4">
      <c r="A144" t="s">
        <v>360</v>
      </c>
    </row>
    <row r="145" spans="1:1">
      <c r="A145" t="s">
        <v>361</v>
      </c>
    </row>
    <row r="146" spans="1:1">
      <c r="A146" t="s">
        <v>362</v>
      </c>
    </row>
    <row r="147" spans="1:1">
      <c r="A147" t="s">
        <v>363</v>
      </c>
    </row>
    <row r="148" spans="1:1">
      <c r="A148" t="s">
        <v>364</v>
      </c>
    </row>
    <row r="149" spans="1:1">
      <c r="A149" t="s">
        <v>365</v>
      </c>
    </row>
    <row r="150" spans="1:1">
      <c r="A150" t="s">
        <v>366</v>
      </c>
    </row>
    <row r="152" spans="1:1">
      <c r="A152" t="s">
        <v>367</v>
      </c>
    </row>
    <row r="153" spans="1:1">
      <c r="A153" t="s">
        <v>368</v>
      </c>
    </row>
    <row r="154" spans="1:1">
      <c r="A154" t="s">
        <v>369</v>
      </c>
    </row>
    <row r="155" spans="1:1">
      <c r="A155" t="s">
        <v>370</v>
      </c>
    </row>
    <row r="156" spans="1:1">
      <c r="A156" t="s">
        <v>371</v>
      </c>
    </row>
    <row r="159" spans="1:1">
      <c r="A159" t="s">
        <v>372</v>
      </c>
    </row>
    <row r="160" spans="1:1">
      <c r="A160" t="s">
        <v>373</v>
      </c>
    </row>
    <row r="162" spans="1:1">
      <c r="A162" t="s">
        <v>374</v>
      </c>
    </row>
    <row r="163" spans="1:1">
      <c r="A163" t="s">
        <v>375</v>
      </c>
    </row>
    <row r="164" spans="1:1">
      <c r="A164" t="s">
        <v>376</v>
      </c>
    </row>
    <row r="165" spans="1:1">
      <c r="A165" t="s">
        <v>195</v>
      </c>
    </row>
    <row r="166" spans="1:1">
      <c r="A166" t="s">
        <v>195</v>
      </c>
    </row>
    <row r="167" spans="1:1">
      <c r="A167" t="s">
        <v>196</v>
      </c>
    </row>
    <row r="168" spans="1:1">
      <c r="A168" t="s">
        <v>197</v>
      </c>
    </row>
    <row r="169" spans="1:1">
      <c r="A169" t="s">
        <v>195</v>
      </c>
    </row>
    <row r="170" spans="1:1">
      <c r="A170" t="s">
        <v>198</v>
      </c>
    </row>
    <row r="171" spans="1:1">
      <c r="A171" t="s">
        <v>199</v>
      </c>
    </row>
    <row r="172" spans="1:1">
      <c r="A172" t="s">
        <v>200</v>
      </c>
    </row>
    <row r="173" spans="1:1">
      <c r="A173" t="s">
        <v>195</v>
      </c>
    </row>
    <row r="174" spans="1:1">
      <c r="A174" t="s">
        <v>377</v>
      </c>
    </row>
    <row r="175" spans="1:1">
      <c r="A175" t="s">
        <v>378</v>
      </c>
    </row>
    <row r="176" spans="1:1">
      <c r="A176" t="s">
        <v>379</v>
      </c>
    </row>
    <row r="177" spans="1:1">
      <c r="A177" t="s">
        <v>198</v>
      </c>
    </row>
    <row r="228" spans="9:10">
      <c r="I228" s="4"/>
      <c r="J228" s="4"/>
    </row>
    <row r="274" spans="9:10">
      <c r="I274" s="4"/>
      <c r="J274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workbookViewId="0">
      <selection activeCell="Q19" sqref="Q19"/>
    </sheetView>
  </sheetViews>
  <sheetFormatPr defaultColWidth="9" defaultRowHeight="13.5"/>
  <sheetData>
    <row r="1" spans="1:1">
      <c r="A1" t="s">
        <v>380</v>
      </c>
    </row>
    <row r="2" spans="1:1">
      <c r="A2" t="s">
        <v>381</v>
      </c>
    </row>
    <row r="4" spans="1:1">
      <c r="A4" t="s">
        <v>382</v>
      </c>
    </row>
    <row r="5" spans="1:1">
      <c r="A5" t="e" cm="1">
        <f t="array" ref="A5">-------------+----------------------------------F(15,31)=5.62</f>
        <v>#NAME?</v>
      </c>
    </row>
    <row r="6" spans="1:1">
      <c r="A6" t="s">
        <v>383</v>
      </c>
    </row>
    <row r="7" spans="1:1">
      <c r="A7" t="s">
        <v>384</v>
      </c>
    </row>
    <row r="8" spans="1:1">
      <c r="A8" t="s">
        <v>385</v>
      </c>
    </row>
    <row r="9" spans="1:1">
      <c r="A9" t="s">
        <v>386</v>
      </c>
    </row>
    <row r="11" spans="1:1">
      <c r="A11" t="s">
        <v>387</v>
      </c>
    </row>
    <row r="12" spans="1:1">
      <c r="A12" t="s">
        <v>388</v>
      </c>
    </row>
    <row r="13" spans="1:1">
      <c r="A13" t="s">
        <v>389</v>
      </c>
    </row>
    <row r="14" spans="1:1">
      <c r="A14" t="s">
        <v>390</v>
      </c>
    </row>
    <row r="15" spans="1:1">
      <c r="A15" t="s">
        <v>391</v>
      </c>
    </row>
    <row r="16" spans="1:1">
      <c r="A16" t="s">
        <v>392</v>
      </c>
    </row>
    <row r="17" spans="1:1">
      <c r="A17" t="s">
        <v>393</v>
      </c>
    </row>
    <row r="18" spans="1:1">
      <c r="A18" t="s">
        <v>394</v>
      </c>
    </row>
    <row r="19" spans="1:1">
      <c r="A19" t="s">
        <v>395</v>
      </c>
    </row>
    <row r="20" spans="1:1">
      <c r="A20" t="s">
        <v>396</v>
      </c>
    </row>
    <row r="21" spans="1:1">
      <c r="A21" t="s">
        <v>397</v>
      </c>
    </row>
    <row r="22" spans="1:1">
      <c r="A22" t="s">
        <v>398</v>
      </c>
    </row>
    <row r="23" spans="1:1">
      <c r="A23" t="s">
        <v>399</v>
      </c>
    </row>
    <row r="24" spans="1:1">
      <c r="A24" t="s">
        <v>400</v>
      </c>
    </row>
    <row r="25" spans="1:1">
      <c r="A25" t="s">
        <v>401</v>
      </c>
    </row>
    <row r="26" spans="1:1">
      <c r="A26" t="s">
        <v>402</v>
      </c>
    </row>
    <row r="27" spans="1:1">
      <c r="A27" t="s">
        <v>403</v>
      </c>
    </row>
    <row r="28" spans="1:1">
      <c r="A28" t="s">
        <v>404</v>
      </c>
    </row>
    <row r="29" spans="1:1">
      <c r="A29" t="s">
        <v>405</v>
      </c>
    </row>
    <row r="30" spans="1:1">
      <c r="A30" t="s">
        <v>387</v>
      </c>
    </row>
    <row r="32" spans="1:1">
      <c r="A32" t="s">
        <v>406</v>
      </c>
    </row>
    <row r="34" spans="1:1">
      <c r="A34" t="s">
        <v>407</v>
      </c>
    </row>
    <row r="35" spans="1:1">
      <c r="A35" t="s">
        <v>408</v>
      </c>
    </row>
    <row r="36" spans="1:1">
      <c r="A36" t="s">
        <v>409</v>
      </c>
    </row>
    <row r="37" spans="1:1">
      <c r="A37" t="s">
        <v>410</v>
      </c>
    </row>
    <row r="38" spans="1:1">
      <c r="A38" t="s">
        <v>411</v>
      </c>
    </row>
    <row r="39" spans="1:1">
      <c r="A39" t="s">
        <v>412</v>
      </c>
    </row>
    <row r="40" spans="1:1">
      <c r="A40" t="s">
        <v>413</v>
      </c>
    </row>
    <row r="41" spans="1:1">
      <c r="A41" t="s">
        <v>414</v>
      </c>
    </row>
    <row r="42" spans="1:1">
      <c r="A42" t="s">
        <v>415</v>
      </c>
    </row>
    <row r="43" spans="1:1">
      <c r="A43" t="s">
        <v>416</v>
      </c>
    </row>
    <row r="44" spans="1:1">
      <c r="A44" t="s">
        <v>417</v>
      </c>
    </row>
    <row r="45" spans="1:1">
      <c r="A45" t="s">
        <v>418</v>
      </c>
    </row>
    <row r="46" spans="1:1">
      <c r="A46" t="s">
        <v>419</v>
      </c>
    </row>
    <row r="47" spans="1:1">
      <c r="A47" t="s">
        <v>420</v>
      </c>
    </row>
    <row r="48" spans="1:1">
      <c r="A48" t="s">
        <v>421</v>
      </c>
    </row>
    <row r="49" spans="1:1">
      <c r="A49" t="s">
        <v>422</v>
      </c>
    </row>
    <row r="50" spans="1:1">
      <c r="A50" t="s">
        <v>423</v>
      </c>
    </row>
    <row r="51" spans="1:1">
      <c r="A51" t="s">
        <v>408</v>
      </c>
    </row>
    <row r="52" spans="1:1">
      <c r="A52" t="s">
        <v>424</v>
      </c>
    </row>
    <row r="54" spans="1:1">
      <c r="A54" t="s">
        <v>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Results of the scale threshold </vt:lpstr>
      <vt:lpstr>Results of the density threshol</vt:lpstr>
      <vt:lpstr>VIF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何柏妮</dc:creator>
  <cp:lastModifiedBy>林娟</cp:lastModifiedBy>
  <dcterms:created xsi:type="dcterms:W3CDTF">2025-08-09T15:51:00Z</dcterms:created>
  <dcterms:modified xsi:type="dcterms:W3CDTF">2026-05-17T08:58:09Z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8540E3B2A71D42839F9E64F6FF8948E4_11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