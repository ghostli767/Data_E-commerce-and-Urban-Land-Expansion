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D:\Dropbox\Working File\Published and Submitted\Papers\Submitted\HSSC26Lin_Sub\Data for Public\"/>
    </mc:Choice>
  </mc:AlternateContent>
  <xr:revisionPtr revIDLastSave="0" documentId="13_ncr:1_{B7256469-C331-407B-885A-99574379AFB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esults of the scale threshold " sheetId="5" r:id="rId1"/>
    <sheet name="Results of the density threshol" sheetId="6" r:id="rId2"/>
  </sheets>
  <definedNames>
    <definedName name="_xlnm.Database">'Results of the scale threshold 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1" i="6" l="1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</calcChain>
</file>

<file path=xl/sharedStrings.xml><?xml version="1.0" encoding="utf-8"?>
<sst xmlns="http://schemas.openxmlformats.org/spreadsheetml/2006/main" count="284" uniqueCount="228">
  <si>
    <t xml:space="preserve"> thresholdtest expansion0823 Density Agglomeration Location Bus CoachStation Commercialoffice Cultu</t>
  </si>
  <si>
    <t>&gt; reart Developmentzones Financialinstitutions Shoppingcenter Factory University Population floating</t>
  </si>
  <si>
    <t>&gt; populationpercent, q( ec23 ) trim_per(0.15) rep(5000)</t>
  </si>
  <si>
    <t xml:space="preserve"> </t>
  </si>
  <si>
    <t>Test of Null of No Threshold Against Alternative of Threshold</t>
  </si>
  <si>
    <t>Allowing Heteroskedastic Errors (White Corrected)</t>
  </si>
  <si>
    <t>______________________________________________________________________</t>
  </si>
  <si>
    <t>Number of Bootstrap Replications:  5000</t>
  </si>
  <si>
    <t>Trimming Percentage:               .15</t>
  </si>
  <si>
    <t>Threshold Estimate:               82</t>
  </si>
  <si>
    <t>LM-test for no threshold:         28.1359855</t>
  </si>
  <si>
    <t>Bootstrap P-Value:                .043</t>
  </si>
  <si>
    <t xml:space="preserve"> thresholdreg expansion0823 Density Agglomeration Location Bus CoachStation Commercialoffice Cultur</t>
  </si>
  <si>
    <t>&gt; eart Developmentzones Financialinstitutions Shoppingcenter Factory University Population floatingp</t>
  </si>
  <si>
    <t>&gt; opulationpercent, q( ec23 ) h(1)</t>
  </si>
  <si>
    <t>Global OLS Estimation, Without Threshold</t>
  </si>
  <si>
    <t>Heteroskedasticity Correction Used</t>
  </si>
  <si>
    <t>Independent Variables         Estimate                St Error</t>
  </si>
  <si>
    <t>Intercept                    3.81571771               2.50578023</t>
  </si>
  <si>
    <t>Density                        -.021064268               .046545616</t>
  </si>
  <si>
    <t>Agglomeration                        1.8121784               1.30112258</t>
  </si>
  <si>
    <t>Location                        -1.45693863               1.84428068</t>
  </si>
  <si>
    <t>Bus                        .251737247               .050676716</t>
  </si>
  <si>
    <t>CoachStation                        -.833524887               1.21566702</t>
  </si>
  <si>
    <t>Commercialoffice                        -.193229546               .06546729</t>
  </si>
  <si>
    <t>Cultureart                        -.497563147               .351421609</t>
  </si>
  <si>
    <t>Developmentzones                        .576450814               .202161024</t>
  </si>
  <si>
    <t>Financialinstitutions                        .040613622               .080790788</t>
  </si>
  <si>
    <t>Shoppingcenter                        .885240199               1.32685006</t>
  </si>
  <si>
    <t>Factory                        .428670556               .074811814</t>
  </si>
  <si>
    <t>University                        -3.76911021               1.45455657</t>
  </si>
  <si>
    <t>Population                        .162110202               .46318563</t>
  </si>
  <si>
    <t>floatingpopulationpercent                        .06493993               4.29963353</t>
  </si>
  <si>
    <t>Observations:                      168</t>
  </si>
  <si>
    <t>Degrees of Freedom:                153</t>
  </si>
  <si>
    <t>Sum of Squared Errors:             13280.6963</t>
  </si>
  <si>
    <t>Residual Variance:                 86.8019364</t>
  </si>
  <si>
    <t>R-squared:                         .776393039</t>
  </si>
  <si>
    <t>Heteroskedasticity Test (P-Value): .274027281</t>
  </si>
  <si>
    <t>Threshold Estimation</t>
  </si>
  <si>
    <t>Threshold Estimate:               73</t>
  </si>
  <si>
    <t>.95 Confidence Iterval:           [73,82]</t>
  </si>
  <si>
    <t>Sum of Squared Errors             8800.71157</t>
  </si>
  <si>
    <t>Residual Variance:                63.7732722</t>
  </si>
  <si>
    <t>Joint R-Squared:                  .8518225</t>
  </si>
  <si>
    <t>Heteroskedasticity Test (p-value):.274027281</t>
  </si>
  <si>
    <t>Regime1     q&lt;=73</t>
  </si>
  <si>
    <t>Parameter Estimates</t>
  </si>
  <si>
    <t>Intercept                    .059722134               1.88385356</t>
  </si>
  <si>
    <t>Density                        -9.71830723               2.76676387</t>
  </si>
  <si>
    <t>Agglomeration                        1.20690098               .84642407</t>
  </si>
  <si>
    <t>Location                        -1.21884935               1.43675184</t>
  </si>
  <si>
    <t>Bus                        .24576353               .03783195</t>
  </si>
  <si>
    <t>CoachStation                        -1.16246385               .747878895</t>
  </si>
  <si>
    <t>Commercialoffice                        .059309764               .11873905</t>
  </si>
  <si>
    <t>Cultureart                        .567204714               .381561386</t>
  </si>
  <si>
    <t>Developmentzones                        -.074576517               .304728947</t>
  </si>
  <si>
    <t>Financialinstitutions                        .002525884               .11311844</t>
  </si>
  <si>
    <t>Shoppingcenter                        3.62670627               1.29547195</t>
  </si>
  <si>
    <t>Factory                        .367361862               .092577557</t>
  </si>
  <si>
    <t>University                        -3.56170573               1.62879925</t>
  </si>
  <si>
    <t>Population                        1.23251125               .445722469</t>
  </si>
  <si>
    <t>floatingpopulationpercent                        7.52313124               2.85628529</t>
  </si>
  <si>
    <t>.95 Confidence Regions for Parameters.</t>
  </si>
  <si>
    <t>Independent Variables         Low                     High</t>
  </si>
  <si>
    <t>Intercept                    -5.1732049             3.75207511</t>
  </si>
  <si>
    <t>Density                          -15.1411644            -2.80610749</t>
  </si>
  <si>
    <t>Agglomeration                          -.965405185            2.91995554</t>
  </si>
  <si>
    <t>Location                          -4.03488295            2.69123872</t>
  </si>
  <si>
    <t>Bus                          .1576728            .319914153</t>
  </si>
  <si>
    <t>CoachStation                          -2.92613313            1.30068072</t>
  </si>
  <si>
    <t>Commercialoffice                          -.209616214            .346267695</t>
  </si>
  <si>
    <t>Cultureart                          -.401061732            1.31506503</t>
  </si>
  <si>
    <t>Developmentzones                          -.671845253            .663896151</t>
  </si>
  <si>
    <t>Financialinstitutions                          -.393809862            .224238026</t>
  </si>
  <si>
    <t>Shoppingcenter                          .36062276            6.16583129</t>
  </si>
  <si>
    <t>Factory                          .18590985            .569483796</t>
  </si>
  <si>
    <t>University                          -8.4813476            -.369259204</t>
  </si>
  <si>
    <t>Population                          .358895206            2.48735935</t>
  </si>
  <si>
    <t>floatingpopulationpercent                          .997704436            13.7929805</t>
  </si>
  <si>
    <t>Observations:                     121</t>
  </si>
  <si>
    <t>Degrees of Freedom:               106</t>
  </si>
  <si>
    <t>Sum of Squared Errors:            2775.57544</t>
  </si>
  <si>
    <t>Residual Variance:                26.184674</t>
  </si>
  <si>
    <t>R-squared:                        .917945053</t>
  </si>
  <si>
    <t>Regime2    q&gt;73</t>
  </si>
  <si>
    <t>Intercept                    2.92901604               6.38729824</t>
  </si>
  <si>
    <t>Density                        -.029667302               .045847481</t>
  </si>
  <si>
    <t>Agglomeration                        3.8121376               1.93456065</t>
  </si>
  <si>
    <t>Location                        -.928499782               3.20445462</t>
  </si>
  <si>
    <t>Bus                        .256919143               .077981537</t>
  </si>
  <si>
    <t>CoachStation                        -3.61117283               2.00960234</t>
  </si>
  <si>
    <t>Commercialoffice                        -.100910608               .065426298</t>
  </si>
  <si>
    <t>Cultureart                        -.807329512               .427780542</t>
  </si>
  <si>
    <t>Developmentzones                        .888088281               .175330215</t>
  </si>
  <si>
    <t>Financialinstitutions                        .147476635               .094851595</t>
  </si>
  <si>
    <t>Shoppingcenter                        -1.92465065               1.12925357</t>
  </si>
  <si>
    <t>Factory                        .292725859               .086754156</t>
  </si>
  <si>
    <t>University                        -2.4426703               1.28945454</t>
  </si>
  <si>
    <t>Population                        .199875068               .543177925</t>
  </si>
  <si>
    <t>floatingpopulationpercent                        -12.5678519               9.76493824</t>
  </si>
  <si>
    <t>Independent Variables         Low                      High</t>
  </si>
  <si>
    <t>Intercept                     -11.6015005             15.4481206</t>
  </si>
  <si>
    <t>Density                           -.130034849            .061804232</t>
  </si>
  <si>
    <t>Agglomeration                           .020398718            8.06986002</t>
  </si>
  <si>
    <t>Location                           -7.4141989            5.55747341</t>
  </si>
  <si>
    <t>Bus                           .104075332            .43067686</t>
  </si>
  <si>
    <t>CoachStation                           -7.8571484            .502485007</t>
  </si>
  <si>
    <t>Commercialoffice                           -.233491193            .032158316</t>
  </si>
  <si>
    <t>Cultureart                           -1.64577937            .113867743</t>
  </si>
  <si>
    <t>Developmentzones                           .454568935            1.2317355</t>
  </si>
  <si>
    <t>Financialinstitutions                           -.054649351            .333385762</t>
  </si>
  <si>
    <t>Shoppingcenter                           -4.13798766            .459350661</t>
  </si>
  <si>
    <t>Factory                           .096252012            .480032265</t>
  </si>
  <si>
    <t>University                           -4.9700012            .588995015</t>
  </si>
  <si>
    <t>Population                           -.931090164            1.2645038</t>
  </si>
  <si>
    <t>floatingpopulationpercent                           -33.141771            12.7589349</t>
  </si>
  <si>
    <t>Observations:                     47</t>
  </si>
  <si>
    <t>Degrees of Freedom:               32</t>
  </si>
  <si>
    <t>Sum of Squared Errors:            6025.13612</t>
  </si>
  <si>
    <t>Residual Variance:                188.285504</t>
  </si>
  <si>
    <t>R-squared:                        .724192816</t>
  </si>
  <si>
    <t xml:space="preserve">. </t>
  </si>
  <si>
    <t>.  thresholdtest expansion0823 Scale Agglomeration Location Bus CoachStation Commercialoffice Cultur</t>
  </si>
  <si>
    <t>&gt; opulationpercent , q( Density ) trim_per(0.15) rep(5000)</t>
  </si>
  <si>
    <t>Threshold Estimate:               .20608868</t>
  </si>
  <si>
    <t>LM-test for no threshold:         27.6059554</t>
  </si>
  <si>
    <t>Bootstrap P-Value:                .0628</t>
  </si>
  <si>
    <t>. thresholdreg expansion0823 Scale Agglomeration Location Bus CoachStation Commercialoffice Culturea</t>
  </si>
  <si>
    <t>&gt; rt Developmentzones Financialinstitutions Shoppingcenter Factory University Population floatingpop</t>
  </si>
  <si>
    <t>&gt; ulationpercent, q( Density ) h(1)</t>
  </si>
  <si>
    <t>Intercept                    3.84711507               2.50182031</t>
  </si>
  <si>
    <t>Scale                        .162600921               .710776522</t>
  </si>
  <si>
    <t>Agglomeration                        1.76097768               1.29386347</t>
  </si>
  <si>
    <t>Location                        -1.56854045               1.88842394</t>
  </si>
  <si>
    <t>Bus                        .252400212               .050812532</t>
  </si>
  <si>
    <t>CoachStation                        -.814742688               1.23275236</t>
  </si>
  <si>
    <t>Commercialoffice                        -.196978598               .059335072</t>
  </si>
  <si>
    <t>Cultureart                        -.47963342               .341625967</t>
  </si>
  <si>
    <t>Developmentzones                        .578564652               .199041412</t>
  </si>
  <si>
    <t>Financialinstitutions                        .038739011               .079941592</t>
  </si>
  <si>
    <t>Shoppingcenter                        .906946478               1.32794287</t>
  </si>
  <si>
    <t>Factory                        .431505343               .074767056</t>
  </si>
  <si>
    <t>University                        -3.72512274               1.45723337</t>
  </si>
  <si>
    <t>Population                        .142344514               .475942107</t>
  </si>
  <si>
    <t>floatingpopulationpercent                        -.212003257               4.40905435</t>
  </si>
  <si>
    <t>Sum of Squared Errors:             13288.0966</t>
  </si>
  <si>
    <t>Residual Variance:                 86.8503048</t>
  </si>
  <si>
    <t>R-squared:                         .776268439</t>
  </si>
  <si>
    <t>Heteroskedasticity Test (P-Value): .029909846</t>
  </si>
  <si>
    <t>Threshold Estimate:               .161565946</t>
  </si>
  <si>
    <t>.95 Confidence Iterval:           [.155256661,.437865348]</t>
  </si>
  <si>
    <t>Sum of Squared Errors             9403.86937</t>
  </si>
  <si>
    <t>Residual Variance:                68.1439809</t>
  </si>
  <si>
    <t>Joint R-Squared:                  .841667138</t>
  </si>
  <si>
    <t>Heteroskedasticity Test (p-value):.029909846</t>
  </si>
  <si>
    <t>Regime1     q&lt;=.161565946</t>
  </si>
  <si>
    <t>Intercept                    .923657651               2.03664446</t>
  </si>
  <si>
    <t>Scale                        -.086893484               .453071995</t>
  </si>
  <si>
    <t>Agglomeration                        .614056185               1.00010327</t>
  </si>
  <si>
    <t>Location                        -2.09647483               1.60633209</t>
  </si>
  <si>
    <t>Bus                        .199917281               .038582075</t>
  </si>
  <si>
    <t>CoachStation                        -1.6056177               .880406112</t>
  </si>
  <si>
    <t>Commercialoffice                        .165237044               .133777869</t>
  </si>
  <si>
    <t>Cultureart                        .871506047               .483456534</t>
  </si>
  <si>
    <t>Developmentzones                        -.21884169               .286671034</t>
  </si>
  <si>
    <t>Financialinstitutions                        -.144952108               .067535644</t>
  </si>
  <si>
    <t>Shoppingcenter                        2.69085076               1.18009002</t>
  </si>
  <si>
    <t>Factory                        .392806824               .085887702</t>
  </si>
  <si>
    <t>University                        -2.15492895               1.85945441</t>
  </si>
  <si>
    <t>Population                        1.80674293               .400158664</t>
  </si>
  <si>
    <t>floatingpopulationpercent                        5.31386267               2.95740907</t>
  </si>
  <si>
    <t>Intercept                    -7.0637474             5.61297437</t>
  </si>
  <si>
    <t>Scale                          -1.1414023            1.55670039</t>
  </si>
  <si>
    <t>Agglomeration                          -4.38231012            3.02163733</t>
  </si>
  <si>
    <t>Location                          -5.26908118            4.50631727</t>
  </si>
  <si>
    <t>Bus                          .046606674            .278181424</t>
  </si>
  <si>
    <t>CoachStation                          -3.58998591            1.75999401</t>
  </si>
  <si>
    <t>Commercialoffice                          -.447534025            .465641963</t>
  </si>
  <si>
    <t>Cultureart                          -1.25366226            1.82151929</t>
  </si>
  <si>
    <t>Developmentzones                          -.903712698            1.25575103</t>
  </si>
  <si>
    <t>Financialinstitutions                          -.31227349            .062287654</t>
  </si>
  <si>
    <t>Shoppingcenter                          .054730296            6.51666464</t>
  </si>
  <si>
    <t>Factory                          .116099033            .589531334</t>
  </si>
  <si>
    <t>University                          -7.16012487            4.6497907</t>
  </si>
  <si>
    <t>Population                          -.279711509            2.59105392</t>
  </si>
  <si>
    <t>floatingpopulationpercent                          -.482659117            19.0127096</t>
  </si>
  <si>
    <t>Observations:                     113</t>
  </si>
  <si>
    <t>Degrees of Freedom:               98</t>
  </si>
  <si>
    <t>Sum of Squared Errors:            2675.76376</t>
  </si>
  <si>
    <t>Residual Variance:                27.3037118</t>
  </si>
  <si>
    <t>R-squared:                        .924195107</t>
  </si>
  <si>
    <t>Regime2    q&gt;.161565946</t>
  </si>
  <si>
    <t>Intercept                    -1.63360481               7.48859742</t>
  </si>
  <si>
    <t>Scale                        .632456639               3.28253919</t>
  </si>
  <si>
    <t>Agglomeration                        3.03196655               1.62807938</t>
  </si>
  <si>
    <t>Location                        .019832077               2.85100883</t>
  </si>
  <si>
    <t>Bus                        .404260088               .121115807</t>
  </si>
  <si>
    <t>CoachStation                        -1.18735104               2.46435122</t>
  </si>
  <si>
    <t>Commercialoffice                        -.092473017               .059499185</t>
  </si>
  <si>
    <t>Cultureart                        -1.07225404               .446890754</t>
  </si>
  <si>
    <t>Developmentzones                        .747101221               .214545935</t>
  </si>
  <si>
    <t>Financialinstitutions                        .020580223               .112757022</t>
  </si>
  <si>
    <t>Shoppingcenter                        .333708793               1.5414535</t>
  </si>
  <si>
    <t>Factory                        .291760428               .093557203</t>
  </si>
  <si>
    <t>University                        -2.73905047               1.44188639</t>
  </si>
  <si>
    <t>Population                        -.650574514               .675489761</t>
  </si>
  <si>
    <t>floatingpopulationpercent                        .252098113               7.89213253</t>
  </si>
  <si>
    <t>Intercept                     -45.8428103             16.1191143</t>
  </si>
  <si>
    <t>Scale                           -6.51666525            13.4682102</t>
  </si>
  <si>
    <t>Agglomeration                           -.159069035            12.085038</t>
  </si>
  <si>
    <t>Location                           -10.2133023            5.60780938</t>
  </si>
  <si>
    <t>Bus                           .088386604            .883142304</t>
  </si>
  <si>
    <t>CoachStation                           -8.84489593            3.64277735</t>
  </si>
  <si>
    <t>Commercialoffice                           -.385475527            .024145385</t>
  </si>
  <si>
    <t>Cultureart                           -2.60435146            .072990281</t>
  </si>
  <si>
    <t>Developmentzones                           .113622994            1.26368718</t>
  </si>
  <si>
    <t>Financialinstitutions                           -.20042354            .52943673</t>
  </si>
  <si>
    <t>Shoppingcenter                           -4.00998551            3.35495765</t>
  </si>
  <si>
    <t>Factory                           .094830485            .723566086</t>
  </si>
  <si>
    <t>University                           -8.76849483            .252431126</t>
  </si>
  <si>
    <t>Population                           -2.04915995            1.17070445</t>
  </si>
  <si>
    <t>floatingpopulationpercent                           -22.4375043            35.7490648</t>
  </si>
  <si>
    <t>Observations:                     55</t>
  </si>
  <si>
    <t>Degrees of Freedom:               40</t>
  </si>
  <si>
    <t>Sum of Squared Errors:            6728.10561</t>
  </si>
  <si>
    <t>Residual Variance:                168.20264</t>
  </si>
  <si>
    <t>R-squared:                        .698159985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</si>
</sst>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8" formatCode="0.000_ "/>
    <numFmt numFmtId="169" formatCode="0.000"/>
  </numFmts>
  <fonts count="4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sz val="11"/>
      <color theme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168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  <xf numFmtId="11" fontId="1" fillId="0" borderId="0" xfId="0" applyNumberFormat="1" applyFont="1">
      <alignment vertical="center"/>
    </xf>
    <xf numFmtId="169" fontId="0" fillId="0" borderId="0" xfId="0" applyNumberFormat="1">
      <alignment vertical="center"/>
    </xf>
    <xf numFmtId="1" fontId="0" fillId="0" borderId="0" xfId="0" applyNumberFormat="1">
      <alignment vertical="center"/>
    </xf>
    <xf numFmtId="1" fontId="1" fillId="0" borderId="0" xfId="0" applyNumberFormat="1" applyFont="1">
      <alignment vertical="center"/>
    </xf>
    <xf numFmtId="169" fontId="1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169" fontId="3" fillId="0" borderId="0" xfId="0" applyNumberFormat="1" applyFont="1">
      <alignment vertical="center"/>
    </xf>
    <xf numFmtId="1" fontId="2" fillId="0" borderId="0" xfId="0" applyNumberFormat="1" applyFont="1">
      <alignment vertical="center"/>
    </xf>
    <xf numFmtId="169" fontId="2" fillId="0" borderId="0" xfId="0" applyNumberFormat="1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9"/>
  <sheetViews>
    <sheetView tabSelected="1" topLeftCell="A103" workbookViewId="0">
      <selection activeCell="H165" sqref="H165"/>
    </sheetView>
  </sheetViews>
  <sheetFormatPr defaultColWidth="9" defaultRowHeight="14.5"/>
  <cols>
    <col min="2" max="2" width="16"/>
    <col min="3" max="3" width="14.90625"/>
    <col min="4" max="4" width="13.7265625"/>
    <col min="11" max="11" width="11.08984375" customWidth="1"/>
    <col min="12" max="12" width="13.7265625" style="6"/>
    <col min="13" max="13" width="10.36328125" style="6" customWidth="1"/>
    <col min="14" max="14" width="8.26953125" style="6" customWidth="1"/>
  </cols>
  <sheetData>
    <row r="1" spans="1:14">
      <c r="A1" t="s">
        <v>0</v>
      </c>
      <c r="K1" s="7"/>
    </row>
    <row r="2" spans="1:14">
      <c r="A2" t="s">
        <v>1</v>
      </c>
      <c r="K2" s="8"/>
      <c r="L2" s="9"/>
      <c r="M2" s="9"/>
      <c r="N2" s="9"/>
    </row>
    <row r="3" spans="1:14">
      <c r="A3" t="s">
        <v>2</v>
      </c>
      <c r="K3" s="7"/>
    </row>
    <row r="4" spans="1:14">
      <c r="A4" t="s">
        <v>3</v>
      </c>
      <c r="K4" s="7"/>
    </row>
    <row r="5" spans="1:14">
      <c r="A5" t="s">
        <v>4</v>
      </c>
      <c r="K5" s="10"/>
      <c r="L5" s="11"/>
      <c r="M5" s="11"/>
      <c r="N5" s="11"/>
    </row>
    <row r="6" spans="1:14">
      <c r="A6" t="s">
        <v>5</v>
      </c>
      <c r="K6" s="7"/>
    </row>
    <row r="7" spans="1:14">
      <c r="A7" t="s">
        <v>3</v>
      </c>
      <c r="K7" s="8"/>
      <c r="L7" s="9"/>
      <c r="M7" s="9"/>
      <c r="N7" s="9"/>
    </row>
    <row r="8" spans="1:14">
      <c r="A8" t="s">
        <v>6</v>
      </c>
      <c r="K8" s="7"/>
    </row>
    <row r="9" spans="1:14">
      <c r="A9" t="s">
        <v>7</v>
      </c>
      <c r="K9" s="7"/>
    </row>
    <row r="10" spans="1:14">
      <c r="A10" t="s">
        <v>8</v>
      </c>
      <c r="K10" s="7"/>
    </row>
    <row r="11" spans="1:14">
      <c r="A11" t="s">
        <v>3</v>
      </c>
      <c r="K11" s="7"/>
    </row>
    <row r="12" spans="1:14">
      <c r="A12" t="s">
        <v>9</v>
      </c>
      <c r="K12" s="7"/>
    </row>
    <row r="13" spans="1:14">
      <c r="A13" t="s">
        <v>10</v>
      </c>
      <c r="K13" s="7"/>
    </row>
    <row r="14" spans="1:14">
      <c r="A14" t="s">
        <v>11</v>
      </c>
      <c r="K14" s="7"/>
    </row>
    <row r="15" spans="1:14">
      <c r="A15" t="s">
        <v>6</v>
      </c>
      <c r="K15" s="7"/>
    </row>
    <row r="16" spans="1:14">
      <c r="K16" s="7"/>
    </row>
    <row r="17" spans="1:14">
      <c r="K17" s="7"/>
    </row>
    <row r="18" spans="1:14">
      <c r="A18" t="s">
        <v>12</v>
      </c>
      <c r="K18" s="10"/>
      <c r="L18" s="11"/>
      <c r="M18" s="11"/>
      <c r="N18" s="11"/>
    </row>
    <row r="19" spans="1:14">
      <c r="A19" t="s">
        <v>13</v>
      </c>
      <c r="K19" s="7"/>
    </row>
    <row r="20" spans="1:14">
      <c r="A20" t="s">
        <v>14</v>
      </c>
      <c r="K20" s="8"/>
      <c r="L20" s="9"/>
      <c r="M20" s="9"/>
      <c r="N20" s="9"/>
    </row>
    <row r="21" spans="1:14">
      <c r="A21" t="s">
        <v>15</v>
      </c>
      <c r="K21" s="8"/>
      <c r="L21" s="9"/>
      <c r="M21" s="9"/>
      <c r="N21" s="9"/>
    </row>
    <row r="22" spans="1:14">
      <c r="A22" t="s">
        <v>6</v>
      </c>
      <c r="K22" s="7"/>
    </row>
    <row r="23" spans="1:14">
      <c r="A23" t="s">
        <v>6</v>
      </c>
      <c r="K23" s="7"/>
    </row>
    <row r="24" spans="1:14">
      <c r="A24" t="s">
        <v>16</v>
      </c>
      <c r="K24" s="10"/>
      <c r="L24" s="11"/>
      <c r="M24" s="11"/>
      <c r="N24" s="11"/>
    </row>
    <row r="25" spans="1:14">
      <c r="A25" t="s">
        <v>6</v>
      </c>
      <c r="K25" s="10"/>
      <c r="L25" s="11"/>
      <c r="M25" s="11"/>
      <c r="N25" s="11"/>
    </row>
    <row r="26" spans="1:14">
      <c r="A26" t="s">
        <v>17</v>
      </c>
      <c r="K26" s="8"/>
      <c r="L26" s="9"/>
      <c r="M26" s="9"/>
      <c r="N26" s="9"/>
    </row>
    <row r="27" spans="1:14">
      <c r="A27" t="s">
        <v>6</v>
      </c>
      <c r="K27" s="10"/>
      <c r="L27" s="11"/>
      <c r="M27" s="11"/>
      <c r="N27" s="11"/>
    </row>
    <row r="28" spans="1:14">
      <c r="A28" t="s">
        <v>18</v>
      </c>
      <c r="K28" s="12"/>
      <c r="L28" s="13"/>
      <c r="M28" s="13"/>
      <c r="N28" s="13"/>
    </row>
    <row r="29" spans="1:14">
      <c r="A29" t="s">
        <v>19</v>
      </c>
      <c r="K29" s="7"/>
    </row>
    <row r="30" spans="1:14">
      <c r="A30" t="s">
        <v>20</v>
      </c>
      <c r="K30" s="7"/>
    </row>
    <row r="31" spans="1:14">
      <c r="A31" t="s">
        <v>21</v>
      </c>
      <c r="K31" s="7"/>
    </row>
    <row r="32" spans="1:14">
      <c r="A32" t="s">
        <v>22</v>
      </c>
      <c r="K32" s="8"/>
      <c r="L32" s="9"/>
      <c r="M32" s="9"/>
      <c r="N32" s="9"/>
    </row>
    <row r="33" spans="1:1">
      <c r="A33" t="s">
        <v>23</v>
      </c>
    </row>
    <row r="34" spans="1:1">
      <c r="A34" t="s">
        <v>24</v>
      </c>
    </row>
    <row r="35" spans="1:1">
      <c r="A35" t="s">
        <v>25</v>
      </c>
    </row>
    <row r="36" spans="1:1">
      <c r="A36" t="s">
        <v>26</v>
      </c>
    </row>
    <row r="37" spans="1:1">
      <c r="A37" t="s">
        <v>27</v>
      </c>
    </row>
    <row r="38" spans="1:1">
      <c r="A38" t="s">
        <v>28</v>
      </c>
    </row>
    <row r="39" spans="1:1">
      <c r="A39" t="s">
        <v>29</v>
      </c>
    </row>
    <row r="40" spans="1:1">
      <c r="A40" t="s">
        <v>30</v>
      </c>
    </row>
    <row r="41" spans="1:1">
      <c r="A41" t="s">
        <v>31</v>
      </c>
    </row>
    <row r="42" spans="1:1">
      <c r="A42" t="s">
        <v>32</v>
      </c>
    </row>
    <row r="44" spans="1:1">
      <c r="A44" t="s">
        <v>33</v>
      </c>
    </row>
    <row r="45" spans="1:1">
      <c r="A45" t="s">
        <v>34</v>
      </c>
    </row>
    <row r="46" spans="1:1">
      <c r="A46" t="s">
        <v>35</v>
      </c>
    </row>
    <row r="47" spans="1:1">
      <c r="A47" t="s">
        <v>36</v>
      </c>
    </row>
    <row r="48" spans="1:1">
      <c r="A48" t="s">
        <v>37</v>
      </c>
    </row>
    <row r="49" spans="1:1">
      <c r="A49" t="s">
        <v>38</v>
      </c>
    </row>
    <row r="52" spans="1:1">
      <c r="A52" t="s">
        <v>39</v>
      </c>
    </row>
    <row r="53" spans="1:1">
      <c r="A53" t="s">
        <v>6</v>
      </c>
    </row>
    <row r="55" spans="1:1">
      <c r="A55" t="s">
        <v>40</v>
      </c>
    </row>
    <row r="56" spans="1:1">
      <c r="A56" t="s">
        <v>41</v>
      </c>
    </row>
    <row r="57" spans="1:1">
      <c r="A57" t="s">
        <v>42</v>
      </c>
    </row>
    <row r="58" spans="1:1">
      <c r="A58" t="s">
        <v>43</v>
      </c>
    </row>
    <row r="59" spans="1:1">
      <c r="A59" t="s">
        <v>44</v>
      </c>
    </row>
    <row r="60" spans="1:1">
      <c r="A60" t="s">
        <v>45</v>
      </c>
    </row>
    <row r="62" spans="1:1">
      <c r="A62" t="s">
        <v>6</v>
      </c>
    </row>
    <row r="64" spans="1:1">
      <c r="A64" t="s">
        <v>46</v>
      </c>
    </row>
    <row r="66" spans="1:4">
      <c r="A66" t="s">
        <v>47</v>
      </c>
    </row>
    <row r="67" spans="1:4">
      <c r="A67" t="s">
        <v>6</v>
      </c>
    </row>
    <row r="68" spans="1:4">
      <c r="A68" t="s">
        <v>17</v>
      </c>
    </row>
    <row r="69" spans="1:4">
      <c r="A69" t="s">
        <v>6</v>
      </c>
      <c r="B69" s="2">
        <v>5.9722134000000003E-2</v>
      </c>
      <c r="C69" s="2">
        <v>1.8838535599999999</v>
      </c>
      <c r="D69">
        <f>B69/C69</f>
        <v>3.1702110646010098E-2</v>
      </c>
    </row>
    <row r="70" spans="1:4">
      <c r="A70" t="s">
        <v>48</v>
      </c>
      <c r="B70" s="2">
        <v>-9.7183072300000006</v>
      </c>
      <c r="C70" s="2">
        <v>2.7667638700000001</v>
      </c>
      <c r="D70">
        <f t="shared" ref="D70:D83" si="0">B70/C70</f>
        <v>-3.5125177596019399</v>
      </c>
    </row>
    <row r="71" spans="1:4">
      <c r="A71" t="s">
        <v>49</v>
      </c>
      <c r="B71" s="2">
        <v>1.2069009799999999</v>
      </c>
      <c r="C71" s="2">
        <v>0.84642406999999997</v>
      </c>
      <c r="D71">
        <f t="shared" si="0"/>
        <v>1.4258821585732999</v>
      </c>
    </row>
    <row r="72" spans="1:4">
      <c r="A72" t="s">
        <v>50</v>
      </c>
      <c r="B72" s="2">
        <v>-1.2188493499999999</v>
      </c>
      <c r="C72" s="2">
        <v>1.4367518399999999</v>
      </c>
      <c r="D72">
        <f t="shared" si="0"/>
        <v>-0.848336724593998</v>
      </c>
    </row>
    <row r="73" spans="1:4">
      <c r="A73" t="s">
        <v>51</v>
      </c>
      <c r="B73" s="2">
        <v>0.24576353000000001</v>
      </c>
      <c r="C73" s="2">
        <v>3.7831950000000003E-2</v>
      </c>
      <c r="D73">
        <f t="shared" si="0"/>
        <v>6.49618986068654</v>
      </c>
    </row>
    <row r="74" spans="1:4">
      <c r="A74" t="s">
        <v>52</v>
      </c>
      <c r="B74" s="2">
        <v>-1.16246385</v>
      </c>
      <c r="C74" s="2">
        <v>0.74787889500000004</v>
      </c>
      <c r="D74">
        <f t="shared" si="0"/>
        <v>-1.55434771294088</v>
      </c>
    </row>
    <row r="75" spans="1:4">
      <c r="A75" t="s">
        <v>53</v>
      </c>
      <c r="B75" s="2">
        <v>5.9309764000000001E-2</v>
      </c>
      <c r="C75" s="2">
        <v>0.11873905</v>
      </c>
      <c r="D75">
        <f t="shared" si="0"/>
        <v>0.49949670306440902</v>
      </c>
    </row>
    <row r="76" spans="1:4">
      <c r="A76" t="s">
        <v>54</v>
      </c>
      <c r="B76" s="2">
        <v>0.56720471400000005</v>
      </c>
      <c r="C76" s="2">
        <v>0.381561386</v>
      </c>
      <c r="D76">
        <f t="shared" si="0"/>
        <v>1.4865359410346599</v>
      </c>
    </row>
    <row r="77" spans="1:4">
      <c r="A77" t="s">
        <v>55</v>
      </c>
      <c r="B77" s="2">
        <v>-7.4576516999999995E-2</v>
      </c>
      <c r="C77" s="2">
        <v>0.30472894699999997</v>
      </c>
      <c r="D77">
        <f t="shared" si="0"/>
        <v>-0.24473066223012899</v>
      </c>
    </row>
    <row r="78" spans="1:4">
      <c r="A78" t="s">
        <v>56</v>
      </c>
      <c r="B78" s="2">
        <v>2.5258839999999999E-3</v>
      </c>
      <c r="C78" s="2">
        <v>0.11311844</v>
      </c>
      <c r="D78">
        <f t="shared" si="0"/>
        <v>2.23295512208266E-2</v>
      </c>
    </row>
    <row r="79" spans="1:4">
      <c r="A79" t="s">
        <v>57</v>
      </c>
      <c r="B79" s="2">
        <v>3.6267062700000001</v>
      </c>
      <c r="C79" s="2">
        <v>1.29547195</v>
      </c>
      <c r="D79">
        <f t="shared" si="0"/>
        <v>2.7995251228712399</v>
      </c>
    </row>
    <row r="80" spans="1:4">
      <c r="A80" t="s">
        <v>58</v>
      </c>
      <c r="B80" s="2">
        <v>0.36736186199999998</v>
      </c>
      <c r="C80" s="2">
        <v>9.2577557000000005E-2</v>
      </c>
      <c r="D80">
        <f t="shared" si="0"/>
        <v>3.96815247565887</v>
      </c>
    </row>
    <row r="81" spans="1:4">
      <c r="A81" t="s">
        <v>59</v>
      </c>
      <c r="B81" s="2">
        <v>-3.5617057299999999</v>
      </c>
      <c r="C81" s="2">
        <v>1.6287992499999999</v>
      </c>
      <c r="D81">
        <f t="shared" si="0"/>
        <v>-2.1867063912265401</v>
      </c>
    </row>
    <row r="82" spans="1:4">
      <c r="A82" t="s">
        <v>60</v>
      </c>
      <c r="B82" s="2">
        <v>1.2325112499999999</v>
      </c>
      <c r="C82" s="2">
        <v>0.44572246900000001</v>
      </c>
      <c r="D82">
        <f t="shared" si="0"/>
        <v>2.7651988304857</v>
      </c>
    </row>
    <row r="83" spans="1:4">
      <c r="A83" t="s">
        <v>61</v>
      </c>
      <c r="B83" s="2">
        <v>7.5231312399999997</v>
      </c>
      <c r="C83" s="2">
        <v>2.8562852900000002</v>
      </c>
      <c r="D83">
        <f t="shared" si="0"/>
        <v>2.6338864910794699</v>
      </c>
    </row>
    <row r="84" spans="1:4">
      <c r="A84" t="s">
        <v>62</v>
      </c>
    </row>
    <row r="86" spans="1:4">
      <c r="A86" t="s">
        <v>63</v>
      </c>
    </row>
    <row r="87" spans="1:4">
      <c r="A87" t="s">
        <v>64</v>
      </c>
    </row>
    <row r="88" spans="1:4">
      <c r="A88" t="s">
        <v>6</v>
      </c>
    </row>
    <row r="89" spans="1:4">
      <c r="A89" t="s">
        <v>65</v>
      </c>
    </row>
    <row r="90" spans="1:4">
      <c r="A90" t="s">
        <v>66</v>
      </c>
    </row>
    <row r="91" spans="1:4">
      <c r="A91" t="s">
        <v>67</v>
      </c>
    </row>
    <row r="92" spans="1:4">
      <c r="A92" t="s">
        <v>68</v>
      </c>
    </row>
    <row r="93" spans="1:4">
      <c r="A93" t="s">
        <v>69</v>
      </c>
    </row>
    <row r="94" spans="1:4">
      <c r="A94" t="s">
        <v>70</v>
      </c>
    </row>
    <row r="95" spans="1:4">
      <c r="A95" t="s">
        <v>71</v>
      </c>
    </row>
    <row r="96" spans="1:4">
      <c r="A96" t="s">
        <v>72</v>
      </c>
    </row>
    <row r="97" spans="1:1">
      <c r="A97" t="s">
        <v>73</v>
      </c>
    </row>
    <row r="98" spans="1:1">
      <c r="A98" t="s">
        <v>74</v>
      </c>
    </row>
    <row r="99" spans="1:1">
      <c r="A99" t="s">
        <v>75</v>
      </c>
    </row>
    <row r="100" spans="1:1">
      <c r="A100" t="s">
        <v>76</v>
      </c>
    </row>
    <row r="101" spans="1:1">
      <c r="A101" t="s">
        <v>77</v>
      </c>
    </row>
    <row r="102" spans="1:1">
      <c r="A102" t="s">
        <v>78</v>
      </c>
    </row>
    <row r="103" spans="1:1">
      <c r="A103" t="s">
        <v>79</v>
      </c>
    </row>
    <row r="105" spans="1:1">
      <c r="A105" t="s">
        <v>80</v>
      </c>
    </row>
    <row r="106" spans="1:1">
      <c r="A106" t="s">
        <v>81</v>
      </c>
    </row>
    <row r="107" spans="1:1">
      <c r="A107" t="s">
        <v>82</v>
      </c>
    </row>
    <row r="108" spans="1:1">
      <c r="A108" t="s">
        <v>83</v>
      </c>
    </row>
    <row r="109" spans="1:1">
      <c r="A109" t="s">
        <v>84</v>
      </c>
    </row>
    <row r="112" spans="1:1">
      <c r="A112" t="s">
        <v>85</v>
      </c>
    </row>
    <row r="114" spans="1:4">
      <c r="A114" t="s">
        <v>47</v>
      </c>
    </row>
    <row r="115" spans="1:4">
      <c r="A115" t="s">
        <v>6</v>
      </c>
    </row>
    <row r="116" spans="1:4">
      <c r="A116" t="s">
        <v>17</v>
      </c>
    </row>
    <row r="117" spans="1:4">
      <c r="A117" t="s">
        <v>6</v>
      </c>
      <c r="B117" s="2">
        <v>2.92901604</v>
      </c>
      <c r="C117" s="2">
        <v>6.3872982399999998</v>
      </c>
      <c r="D117">
        <f>B117/C117</f>
        <v>0.45856885492793298</v>
      </c>
    </row>
    <row r="118" spans="1:4">
      <c r="A118" t="s">
        <v>86</v>
      </c>
      <c r="B118" s="2">
        <v>-2.9667302E-2</v>
      </c>
      <c r="C118" s="2">
        <v>4.5847481000000002E-2</v>
      </c>
      <c r="D118">
        <f t="shared" ref="D118:D131" si="1">B118/C118</f>
        <v>-0.64708684867550303</v>
      </c>
    </row>
    <row r="119" spans="1:4">
      <c r="A119" t="s">
        <v>87</v>
      </c>
      <c r="B119" s="2">
        <v>3.8121375999999998</v>
      </c>
      <c r="C119" s="2">
        <v>1.9345606500000001</v>
      </c>
      <c r="D119">
        <f t="shared" si="1"/>
        <v>1.97054437140547</v>
      </c>
    </row>
    <row r="120" spans="1:4">
      <c r="A120" t="s">
        <v>88</v>
      </c>
      <c r="B120" s="2">
        <v>-0.92849978200000005</v>
      </c>
      <c r="C120" s="2">
        <v>3.2044546199999999</v>
      </c>
      <c r="D120">
        <f t="shared" si="1"/>
        <v>-0.28975282602067198</v>
      </c>
    </row>
    <row r="121" spans="1:4">
      <c r="A121" t="s">
        <v>89</v>
      </c>
      <c r="B121" s="2">
        <v>0.25691914300000002</v>
      </c>
      <c r="C121" s="2">
        <v>7.7981537000000004E-2</v>
      </c>
      <c r="D121">
        <f t="shared" si="1"/>
        <v>3.29461501893711</v>
      </c>
    </row>
    <row r="122" spans="1:4">
      <c r="A122" t="s">
        <v>90</v>
      </c>
      <c r="B122" s="2">
        <v>-3.6111728300000001</v>
      </c>
      <c r="C122" s="2">
        <v>2.0096023399999998</v>
      </c>
      <c r="D122">
        <f t="shared" si="1"/>
        <v>-1.7969589097910801</v>
      </c>
    </row>
    <row r="123" spans="1:4">
      <c r="A123" t="s">
        <v>91</v>
      </c>
      <c r="B123" s="2">
        <v>-0.100910608</v>
      </c>
      <c r="C123" s="2">
        <v>6.5426297999999994E-2</v>
      </c>
      <c r="D123">
        <f t="shared" si="1"/>
        <v>-1.54235546079651</v>
      </c>
    </row>
    <row r="124" spans="1:4">
      <c r="A124" t="s">
        <v>92</v>
      </c>
      <c r="B124" s="2">
        <v>-0.80732951200000003</v>
      </c>
      <c r="C124" s="2">
        <v>0.42778054199999999</v>
      </c>
      <c r="D124">
        <f t="shared" si="1"/>
        <v>-1.88725159920902</v>
      </c>
    </row>
    <row r="125" spans="1:4">
      <c r="A125" t="s">
        <v>93</v>
      </c>
      <c r="B125" s="2">
        <v>0.88808828100000003</v>
      </c>
      <c r="C125" s="2">
        <v>0.17533021500000001</v>
      </c>
      <c r="D125">
        <f t="shared" si="1"/>
        <v>5.06523237309667</v>
      </c>
    </row>
    <row r="126" spans="1:4">
      <c r="A126" t="s">
        <v>94</v>
      </c>
      <c r="B126" s="2">
        <v>0.14747663499999999</v>
      </c>
      <c r="C126" s="2">
        <v>9.4851594999999997E-2</v>
      </c>
      <c r="D126">
        <f t="shared" si="1"/>
        <v>1.55481449732079</v>
      </c>
    </row>
    <row r="127" spans="1:4">
      <c r="A127" t="s">
        <v>95</v>
      </c>
      <c r="B127" s="2">
        <v>-1.92465065</v>
      </c>
      <c r="C127" s="2">
        <v>1.1292535699999999</v>
      </c>
      <c r="D127">
        <f t="shared" si="1"/>
        <v>-1.70435648921615</v>
      </c>
    </row>
    <row r="128" spans="1:4">
      <c r="A128" t="s">
        <v>96</v>
      </c>
      <c r="B128" s="2">
        <v>0.29272585899999998</v>
      </c>
      <c r="C128" s="2">
        <v>8.6754155999999999E-2</v>
      </c>
      <c r="D128">
        <f t="shared" si="1"/>
        <v>3.3741998366049502</v>
      </c>
    </row>
    <row r="129" spans="1:4">
      <c r="A129" t="s">
        <v>97</v>
      </c>
      <c r="B129" s="2">
        <v>-2.4426703000000001</v>
      </c>
      <c r="C129" s="2">
        <v>1.2894545399999999</v>
      </c>
      <c r="D129">
        <f t="shared" si="1"/>
        <v>-1.89434386729136</v>
      </c>
    </row>
    <row r="130" spans="1:4">
      <c r="A130" t="s">
        <v>98</v>
      </c>
      <c r="B130" s="2">
        <v>0.19987506799999999</v>
      </c>
      <c r="C130" s="2">
        <v>0.54317792499999995</v>
      </c>
      <c r="D130">
        <f t="shared" si="1"/>
        <v>0.36797347388519203</v>
      </c>
    </row>
    <row r="131" spans="1:4">
      <c r="A131" t="s">
        <v>99</v>
      </c>
      <c r="B131" s="2">
        <v>-12.567851900000001</v>
      </c>
      <c r="C131" s="2">
        <v>9.7649382399999993</v>
      </c>
      <c r="D131">
        <f t="shared" si="1"/>
        <v>-1.2870385445468999</v>
      </c>
    </row>
    <row r="132" spans="1:4">
      <c r="A132" t="s">
        <v>100</v>
      </c>
    </row>
    <row r="134" spans="1:4">
      <c r="A134" t="s">
        <v>63</v>
      </c>
    </row>
    <row r="135" spans="1:4">
      <c r="A135" t="s">
        <v>101</v>
      </c>
    </row>
    <row r="136" spans="1:4">
      <c r="A136" t="s">
        <v>6</v>
      </c>
    </row>
    <row r="137" spans="1:4">
      <c r="A137" t="s">
        <v>102</v>
      </c>
    </row>
    <row r="138" spans="1:4">
      <c r="A138" t="s">
        <v>103</v>
      </c>
    </row>
    <row r="139" spans="1:4">
      <c r="A139" t="s">
        <v>104</v>
      </c>
    </row>
    <row r="140" spans="1:4">
      <c r="A140" t="s">
        <v>105</v>
      </c>
    </row>
    <row r="141" spans="1:4">
      <c r="A141" t="s">
        <v>106</v>
      </c>
    </row>
    <row r="142" spans="1:4">
      <c r="A142" t="s">
        <v>107</v>
      </c>
    </row>
    <row r="143" spans="1:4">
      <c r="A143" t="s">
        <v>108</v>
      </c>
    </row>
    <row r="144" spans="1:4">
      <c r="A144" t="s">
        <v>109</v>
      </c>
    </row>
    <row r="145" spans="1:1">
      <c r="A145" t="s">
        <v>110</v>
      </c>
    </row>
    <row r="146" spans="1:1">
      <c r="A146" t="s">
        <v>111</v>
      </c>
    </row>
    <row r="147" spans="1:1">
      <c r="A147" t="s">
        <v>112</v>
      </c>
    </row>
    <row r="148" spans="1:1">
      <c r="A148" t="s">
        <v>113</v>
      </c>
    </row>
    <row r="149" spans="1:1">
      <c r="A149" t="s">
        <v>114</v>
      </c>
    </row>
    <row r="150" spans="1:1">
      <c r="A150" t="s">
        <v>115</v>
      </c>
    </row>
    <row r="151" spans="1:1">
      <c r="A151" t="s">
        <v>116</v>
      </c>
    </row>
    <row r="153" spans="1:1">
      <c r="A153" t="s">
        <v>117</v>
      </c>
    </row>
    <row r="154" spans="1:1">
      <c r="A154" t="s">
        <v>118</v>
      </c>
    </row>
    <row r="155" spans="1:1">
      <c r="A155" t="s">
        <v>119</v>
      </c>
    </row>
    <row r="156" spans="1:1">
      <c r="A156" t="s">
        <v>120</v>
      </c>
    </row>
    <row r="157" spans="1:1">
      <c r="A157" t="s">
        <v>121</v>
      </c>
    </row>
    <row r="159" spans="1:1">
      <c r="A159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4"/>
  <sheetViews>
    <sheetView workbookViewId="0">
      <selection activeCell="L29" sqref="L29"/>
    </sheetView>
  </sheetViews>
  <sheetFormatPr defaultColWidth="9" defaultRowHeight="14.5"/>
  <cols>
    <col min="2" max="2" width="13.7265625"/>
    <col min="3" max="3" width="12.6328125"/>
    <col min="4" max="4" width="13.7265625"/>
    <col min="9" max="9" width="13.7265625"/>
    <col min="10" max="10" width="12.6328125"/>
    <col min="11" max="11" width="13.7265625"/>
    <col min="19" max="19" width="13.7265625"/>
    <col min="20" max="20" width="12.6328125"/>
    <col min="21" max="21" width="13.7265625"/>
  </cols>
  <sheetData>
    <row r="1" spans="1:1">
      <c r="A1" t="s">
        <v>123</v>
      </c>
    </row>
    <row r="2" spans="1:1">
      <c r="A2" t="s">
        <v>13</v>
      </c>
    </row>
    <row r="3" spans="1:1">
      <c r="A3" t="s">
        <v>124</v>
      </c>
    </row>
    <row r="4" spans="1:1">
      <c r="A4" t="s">
        <v>3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3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3</v>
      </c>
    </row>
    <row r="13" spans="1:1">
      <c r="A13" t="s">
        <v>125</v>
      </c>
    </row>
    <row r="14" spans="1:1">
      <c r="A14" t="s">
        <v>126</v>
      </c>
    </row>
    <row r="15" spans="1:1">
      <c r="A15" t="s">
        <v>127</v>
      </c>
    </row>
    <row r="16" spans="1:1">
      <c r="A16" t="s">
        <v>6</v>
      </c>
    </row>
    <row r="19" spans="1:1">
      <c r="A19" t="s">
        <v>128</v>
      </c>
    </row>
    <row r="20" spans="1:1">
      <c r="A20" t="s">
        <v>129</v>
      </c>
    </row>
    <row r="21" spans="1:1">
      <c r="A21" t="s">
        <v>130</v>
      </c>
    </row>
    <row r="22" spans="1:1">
      <c r="A22" t="s">
        <v>15</v>
      </c>
    </row>
    <row r="23" spans="1:1">
      <c r="A23" t="s">
        <v>6</v>
      </c>
    </row>
    <row r="24" spans="1:1">
      <c r="A24" t="s">
        <v>16</v>
      </c>
    </row>
    <row r="25" spans="1:1">
      <c r="A25" t="s">
        <v>6</v>
      </c>
    </row>
    <row r="26" spans="1:1">
      <c r="A26" t="s">
        <v>17</v>
      </c>
    </row>
    <row r="27" spans="1:1">
      <c r="A27" t="s">
        <v>6</v>
      </c>
    </row>
    <row r="28" spans="1:1">
      <c r="A28" t="s">
        <v>131</v>
      </c>
    </row>
    <row r="29" spans="1:1">
      <c r="A29" t="s">
        <v>132</v>
      </c>
    </row>
    <row r="30" spans="1:1">
      <c r="A30" t="s">
        <v>133</v>
      </c>
    </row>
    <row r="31" spans="1:1">
      <c r="A31" t="s">
        <v>134</v>
      </c>
    </row>
    <row r="32" spans="1:1">
      <c r="A32" t="s">
        <v>135</v>
      </c>
    </row>
    <row r="33" spans="1:1">
      <c r="A33" t="s">
        <v>136</v>
      </c>
    </row>
    <row r="34" spans="1:1">
      <c r="A34" t="s">
        <v>137</v>
      </c>
    </row>
    <row r="35" spans="1:1">
      <c r="A35" t="s">
        <v>138</v>
      </c>
    </row>
    <row r="36" spans="1:1">
      <c r="A36" t="s">
        <v>139</v>
      </c>
    </row>
    <row r="37" spans="1:1">
      <c r="A37" t="s">
        <v>140</v>
      </c>
    </row>
    <row r="38" spans="1:1">
      <c r="A38" t="s">
        <v>141</v>
      </c>
    </row>
    <row r="39" spans="1:1">
      <c r="A39" t="s">
        <v>142</v>
      </c>
    </row>
    <row r="40" spans="1:1">
      <c r="A40" t="s">
        <v>143</v>
      </c>
    </row>
    <row r="41" spans="1:1">
      <c r="A41" t="s">
        <v>144</v>
      </c>
    </row>
    <row r="42" spans="1:1">
      <c r="A42" t="s">
        <v>145</v>
      </c>
    </row>
    <row r="44" spans="1:1">
      <c r="A44" t="s">
        <v>33</v>
      </c>
    </row>
    <row r="45" spans="1:1">
      <c r="A45" t="s">
        <v>34</v>
      </c>
    </row>
    <row r="46" spans="1:1">
      <c r="A46" t="s">
        <v>146</v>
      </c>
    </row>
    <row r="47" spans="1:1">
      <c r="A47" t="s">
        <v>147</v>
      </c>
    </row>
    <row r="48" spans="1:1">
      <c r="A48" t="s">
        <v>148</v>
      </c>
    </row>
    <row r="49" spans="1:4">
      <c r="A49" t="s">
        <v>149</v>
      </c>
    </row>
    <row r="52" spans="1:4">
      <c r="A52" t="s">
        <v>39</v>
      </c>
    </row>
    <row r="53" spans="1:4">
      <c r="A53" t="s">
        <v>6</v>
      </c>
    </row>
    <row r="55" spans="1:4">
      <c r="A55" t="s">
        <v>150</v>
      </c>
    </row>
    <row r="56" spans="1:4">
      <c r="A56" t="s">
        <v>151</v>
      </c>
    </row>
    <row r="57" spans="1:4">
      <c r="A57" t="s">
        <v>152</v>
      </c>
      <c r="D57" s="1"/>
    </row>
    <row r="58" spans="1:4">
      <c r="A58" t="s">
        <v>153</v>
      </c>
    </row>
    <row r="59" spans="1:4">
      <c r="A59" t="s">
        <v>154</v>
      </c>
    </row>
    <row r="60" spans="1:4">
      <c r="A60" t="s">
        <v>155</v>
      </c>
    </row>
    <row r="62" spans="1:4">
      <c r="A62" t="s">
        <v>6</v>
      </c>
    </row>
    <row r="63" spans="1:4">
      <c r="D63" s="1"/>
    </row>
    <row r="64" spans="1:4">
      <c r="A64" t="s">
        <v>156</v>
      </c>
      <c r="D64" s="1"/>
    </row>
    <row r="66" spans="1:20">
      <c r="A66" t="s">
        <v>47</v>
      </c>
      <c r="D66" s="1"/>
    </row>
    <row r="67" spans="1:20">
      <c r="A67" t="s">
        <v>6</v>
      </c>
      <c r="B67" s="1"/>
      <c r="C67" s="1"/>
      <c r="D67" s="1"/>
      <c r="I67" s="1"/>
    </row>
    <row r="68" spans="1:20">
      <c r="A68" t="s">
        <v>17</v>
      </c>
    </row>
    <row r="69" spans="1:20">
      <c r="A69" t="s">
        <v>6</v>
      </c>
      <c r="B69" s="2">
        <v>0.92365765099999997</v>
      </c>
      <c r="C69" s="2">
        <v>2.0366444600000002</v>
      </c>
      <c r="D69" s="2">
        <f>B69/C69</f>
        <v>0.45351933984589499</v>
      </c>
    </row>
    <row r="70" spans="1:20">
      <c r="A70" t="s">
        <v>157</v>
      </c>
      <c r="B70" s="2">
        <v>-8.6893483999999993E-2</v>
      </c>
      <c r="C70" s="2">
        <v>0.45307199500000001</v>
      </c>
      <c r="D70" s="2">
        <f t="shared" ref="D70:D83" si="0">B70/C70</f>
        <v>-0.191787364831499</v>
      </c>
      <c r="I70" s="1"/>
    </row>
    <row r="71" spans="1:20">
      <c r="A71" t="s">
        <v>158</v>
      </c>
      <c r="B71" s="2">
        <v>0.61405618500000003</v>
      </c>
      <c r="C71" s="2">
        <v>1.0001032700000001</v>
      </c>
      <c r="D71" s="2">
        <f t="shared" si="0"/>
        <v>0.61399277796581897</v>
      </c>
    </row>
    <row r="72" spans="1:20">
      <c r="A72" t="s">
        <v>159</v>
      </c>
      <c r="B72" s="2">
        <v>-2.09647483</v>
      </c>
      <c r="C72" s="2">
        <v>1.60633209</v>
      </c>
      <c r="D72" s="2">
        <f t="shared" si="0"/>
        <v>-1.3051316368833801</v>
      </c>
    </row>
    <row r="73" spans="1:20">
      <c r="A73" t="s">
        <v>160</v>
      </c>
      <c r="B73" s="2">
        <v>0.199917281</v>
      </c>
      <c r="C73" s="2">
        <v>3.8582075E-2</v>
      </c>
      <c r="D73" s="2">
        <f t="shared" si="0"/>
        <v>5.1816103980929</v>
      </c>
    </row>
    <row r="74" spans="1:20">
      <c r="A74" t="s">
        <v>161</v>
      </c>
      <c r="B74" s="2">
        <v>-1.6056177</v>
      </c>
      <c r="C74" s="2">
        <v>0.88040611199999996</v>
      </c>
      <c r="D74" s="2">
        <f t="shared" si="0"/>
        <v>-1.8237239361645901</v>
      </c>
      <c r="I74" s="1"/>
    </row>
    <row r="75" spans="1:20">
      <c r="A75" t="s">
        <v>162</v>
      </c>
      <c r="B75" s="2">
        <v>0.165237044</v>
      </c>
      <c r="C75" s="2">
        <v>0.13377786899999999</v>
      </c>
      <c r="D75" s="2">
        <f t="shared" si="0"/>
        <v>1.2351597856593199</v>
      </c>
    </row>
    <row r="76" spans="1:20">
      <c r="A76" t="s">
        <v>163</v>
      </c>
      <c r="B76" s="2">
        <v>0.87150604700000001</v>
      </c>
      <c r="C76" s="2">
        <v>0.48345653399999999</v>
      </c>
      <c r="D76" s="2">
        <f t="shared" si="0"/>
        <v>1.80265646590682</v>
      </c>
    </row>
    <row r="77" spans="1:20">
      <c r="A77" t="s">
        <v>164</v>
      </c>
      <c r="B77" s="2">
        <v>-0.21884169000000001</v>
      </c>
      <c r="C77" s="2">
        <v>0.28667103399999999</v>
      </c>
      <c r="D77" s="2">
        <f t="shared" si="0"/>
        <v>-0.76338961403404304</v>
      </c>
    </row>
    <row r="78" spans="1:20">
      <c r="A78" t="s">
        <v>165</v>
      </c>
      <c r="B78" s="2">
        <v>-0.144952108</v>
      </c>
      <c r="C78" s="2">
        <v>6.7535644000000006E-2</v>
      </c>
      <c r="D78" s="2">
        <f t="shared" si="0"/>
        <v>-2.1463052606709399</v>
      </c>
      <c r="I78" s="1"/>
      <c r="J78" s="3"/>
      <c r="T78" s="3"/>
    </row>
    <row r="79" spans="1:20">
      <c r="A79" t="s">
        <v>166</v>
      </c>
      <c r="B79" s="2">
        <v>2.69085076</v>
      </c>
      <c r="C79" s="2">
        <v>1.18009002</v>
      </c>
      <c r="D79" s="2">
        <f t="shared" si="0"/>
        <v>2.28020804717932</v>
      </c>
    </row>
    <row r="80" spans="1:20">
      <c r="A80" t="s">
        <v>167</v>
      </c>
      <c r="B80" s="2">
        <v>0.392806824</v>
      </c>
      <c r="C80" s="2">
        <v>8.5887701999999996E-2</v>
      </c>
      <c r="D80" s="2">
        <f t="shared" si="0"/>
        <v>4.5734932342234504</v>
      </c>
    </row>
    <row r="81" spans="1:4">
      <c r="A81" t="s">
        <v>168</v>
      </c>
      <c r="B81" s="2">
        <v>-2.15492895</v>
      </c>
      <c r="C81" s="2">
        <v>1.8594544099999999</v>
      </c>
      <c r="D81" s="2">
        <f t="shared" si="0"/>
        <v>-1.1589038905234601</v>
      </c>
    </row>
    <row r="82" spans="1:4">
      <c r="A82" t="s">
        <v>169</v>
      </c>
      <c r="B82" s="2">
        <v>1.80674293</v>
      </c>
      <c r="C82" s="2">
        <v>0.400158664</v>
      </c>
      <c r="D82" s="2">
        <f t="shared" si="0"/>
        <v>4.5150663787702001</v>
      </c>
    </row>
    <row r="83" spans="1:4">
      <c r="A83" t="s">
        <v>170</v>
      </c>
      <c r="B83" s="2">
        <v>5.3138626699999998</v>
      </c>
      <c r="C83" s="2">
        <v>2.9574090700000002</v>
      </c>
      <c r="D83" s="2">
        <f t="shared" si="0"/>
        <v>1.7967966365910999</v>
      </c>
    </row>
    <row r="84" spans="1:4">
      <c r="A84" t="s">
        <v>171</v>
      </c>
    </row>
    <row r="86" spans="1:4">
      <c r="A86" t="s">
        <v>63</v>
      </c>
    </row>
    <row r="87" spans="1:4">
      <c r="A87" t="s">
        <v>64</v>
      </c>
    </row>
    <row r="88" spans="1:4">
      <c r="A88" t="s">
        <v>6</v>
      </c>
    </row>
    <row r="89" spans="1:4">
      <c r="A89" t="s">
        <v>172</v>
      </c>
    </row>
    <row r="90" spans="1:4">
      <c r="A90" t="s">
        <v>173</v>
      </c>
    </row>
    <row r="91" spans="1:4">
      <c r="A91" t="s">
        <v>174</v>
      </c>
    </row>
    <row r="92" spans="1:4">
      <c r="A92" t="s">
        <v>175</v>
      </c>
    </row>
    <row r="93" spans="1:4">
      <c r="A93" t="s">
        <v>176</v>
      </c>
    </row>
    <row r="94" spans="1:4">
      <c r="A94" t="s">
        <v>177</v>
      </c>
    </row>
    <row r="95" spans="1:4">
      <c r="A95" t="s">
        <v>178</v>
      </c>
    </row>
    <row r="96" spans="1:4">
      <c r="A96" t="s">
        <v>179</v>
      </c>
    </row>
    <row r="97" spans="1:4">
      <c r="A97" t="s">
        <v>180</v>
      </c>
    </row>
    <row r="98" spans="1:4">
      <c r="A98" t="s">
        <v>181</v>
      </c>
    </row>
    <row r="99" spans="1:4">
      <c r="A99" t="s">
        <v>182</v>
      </c>
    </row>
    <row r="100" spans="1:4">
      <c r="A100" t="s">
        <v>183</v>
      </c>
    </row>
    <row r="101" spans="1:4">
      <c r="A101" t="s">
        <v>184</v>
      </c>
    </row>
    <row r="102" spans="1:4">
      <c r="A102" t="s">
        <v>185</v>
      </c>
    </row>
    <row r="103" spans="1:4">
      <c r="A103" t="s">
        <v>186</v>
      </c>
    </row>
    <row r="105" spans="1:4">
      <c r="A105" t="s">
        <v>187</v>
      </c>
      <c r="D105" s="1"/>
    </row>
    <row r="106" spans="1:4">
      <c r="A106" t="s">
        <v>188</v>
      </c>
    </row>
    <row r="107" spans="1:4">
      <c r="A107" t="s">
        <v>189</v>
      </c>
      <c r="D107" s="1"/>
    </row>
    <row r="108" spans="1:4">
      <c r="A108" t="s">
        <v>190</v>
      </c>
    </row>
    <row r="109" spans="1:4">
      <c r="A109" t="s">
        <v>191</v>
      </c>
    </row>
    <row r="112" spans="1:4">
      <c r="A112" t="s">
        <v>192</v>
      </c>
      <c r="D112" s="1"/>
    </row>
    <row r="113" spans="1:20">
      <c r="B113" s="1"/>
      <c r="C113" s="1"/>
      <c r="D113" s="4"/>
    </row>
    <row r="114" spans="1:20">
      <c r="A114" t="s">
        <v>47</v>
      </c>
      <c r="D114" s="1"/>
    </row>
    <row r="115" spans="1:20">
      <c r="A115" t="s">
        <v>6</v>
      </c>
      <c r="I115" s="1"/>
    </row>
    <row r="116" spans="1:20">
      <c r="A116" t="s">
        <v>17</v>
      </c>
      <c r="D116" s="4"/>
      <c r="I116" s="4"/>
    </row>
    <row r="117" spans="1:20">
      <c r="A117" t="s">
        <v>6</v>
      </c>
      <c r="B117" s="2">
        <v>-1.63360481</v>
      </c>
      <c r="C117" s="2">
        <v>7.4885974199999996</v>
      </c>
      <c r="D117" s="2">
        <f>B117/C117</f>
        <v>-0.21814563106798701</v>
      </c>
      <c r="I117" s="1"/>
    </row>
    <row r="118" spans="1:20">
      <c r="A118" t="s">
        <v>193</v>
      </c>
      <c r="B118" s="2">
        <v>0.63245663900000004</v>
      </c>
      <c r="C118" s="2">
        <v>3.2825391900000001</v>
      </c>
      <c r="D118" s="2">
        <f t="shared" ref="D118:D131" si="1">B118/C118</f>
        <v>0.19267298953405601</v>
      </c>
      <c r="I118" s="1"/>
    </row>
    <row r="119" spans="1:20">
      <c r="A119" t="s">
        <v>194</v>
      </c>
      <c r="B119" s="2">
        <v>3.0319665499999999</v>
      </c>
      <c r="C119" s="2">
        <v>1.62807938</v>
      </c>
      <c r="D119" s="2">
        <f t="shared" si="1"/>
        <v>1.8622965116111201</v>
      </c>
      <c r="I119" s="1"/>
    </row>
    <row r="120" spans="1:20">
      <c r="A120" t="s">
        <v>195</v>
      </c>
      <c r="B120" s="2">
        <v>1.9832077E-2</v>
      </c>
      <c r="C120" s="2">
        <v>2.85100883</v>
      </c>
      <c r="D120" s="2">
        <f t="shared" si="1"/>
        <v>6.9561611985607197E-3</v>
      </c>
      <c r="I120" s="1"/>
    </row>
    <row r="121" spans="1:20">
      <c r="A121" t="s">
        <v>196</v>
      </c>
      <c r="B121" s="2">
        <v>0.40426008800000002</v>
      </c>
      <c r="C121" s="2">
        <v>0.12111580700000001</v>
      </c>
      <c r="D121" s="2">
        <f t="shared" si="1"/>
        <v>3.3377979143548102</v>
      </c>
    </row>
    <row r="122" spans="1:20">
      <c r="A122" t="s">
        <v>197</v>
      </c>
      <c r="B122" s="2">
        <v>-1.18735104</v>
      </c>
      <c r="C122" s="2">
        <v>2.4643512200000002</v>
      </c>
      <c r="D122" s="2">
        <f t="shared" si="1"/>
        <v>-0.48181080292605399</v>
      </c>
      <c r="I122" s="1"/>
    </row>
    <row r="123" spans="1:20">
      <c r="A123" t="s">
        <v>198</v>
      </c>
      <c r="B123" s="2">
        <v>-9.2473017000000005E-2</v>
      </c>
      <c r="C123" s="2">
        <v>5.9499185000000003E-2</v>
      </c>
      <c r="D123" s="2">
        <f t="shared" si="1"/>
        <v>-1.55418964142114</v>
      </c>
    </row>
    <row r="124" spans="1:20">
      <c r="A124" t="s">
        <v>199</v>
      </c>
      <c r="B124" s="2">
        <v>-1.07225404</v>
      </c>
      <c r="C124" s="2">
        <v>0.446890754</v>
      </c>
      <c r="D124" s="2">
        <f t="shared" si="1"/>
        <v>-2.3993650134905198</v>
      </c>
      <c r="I124" s="5"/>
      <c r="J124" s="3"/>
      <c r="S124" s="3"/>
      <c r="T124" s="3"/>
    </row>
    <row r="125" spans="1:20">
      <c r="A125" t="s">
        <v>200</v>
      </c>
      <c r="B125" s="2">
        <v>0.74710122099999998</v>
      </c>
      <c r="C125" s="2">
        <v>0.21454593499999999</v>
      </c>
      <c r="D125" s="2">
        <f t="shared" si="1"/>
        <v>3.4822436556535101</v>
      </c>
      <c r="I125" s="1"/>
    </row>
    <row r="126" spans="1:20">
      <c r="A126" t="s">
        <v>201</v>
      </c>
      <c r="B126" s="2">
        <v>2.0580223000000002E-2</v>
      </c>
      <c r="C126" s="2">
        <v>0.112757022</v>
      </c>
      <c r="D126" s="2">
        <f t="shared" si="1"/>
        <v>0.18251832688522099</v>
      </c>
    </row>
    <row r="127" spans="1:20">
      <c r="A127" t="s">
        <v>202</v>
      </c>
      <c r="B127" s="2">
        <v>0.333708793</v>
      </c>
      <c r="C127" s="2">
        <v>1.5414535</v>
      </c>
      <c r="D127" s="2">
        <f t="shared" si="1"/>
        <v>0.216489691709805</v>
      </c>
    </row>
    <row r="128" spans="1:20">
      <c r="A128" t="s">
        <v>203</v>
      </c>
      <c r="B128" s="2">
        <v>0.29176042800000002</v>
      </c>
      <c r="C128" s="2">
        <v>9.3557203000000005E-2</v>
      </c>
      <c r="D128" s="2">
        <f t="shared" si="1"/>
        <v>3.1185244817547599</v>
      </c>
    </row>
    <row r="129" spans="1:4">
      <c r="A129" t="s">
        <v>204</v>
      </c>
      <c r="B129" s="2">
        <v>-2.73905047</v>
      </c>
      <c r="C129" s="2">
        <v>1.4418863900000001</v>
      </c>
      <c r="D129" s="2">
        <f t="shared" si="1"/>
        <v>-1.8996298799935301</v>
      </c>
    </row>
    <row r="130" spans="1:4">
      <c r="A130" t="s">
        <v>205</v>
      </c>
      <c r="B130" s="2">
        <v>-0.65057451399999999</v>
      </c>
      <c r="C130" s="2">
        <v>0.67548976100000002</v>
      </c>
      <c r="D130" s="2">
        <f t="shared" si="1"/>
        <v>-0.96311528547358705</v>
      </c>
    </row>
    <row r="131" spans="1:4">
      <c r="A131" t="s">
        <v>206</v>
      </c>
      <c r="B131" s="2">
        <v>0.25209811300000001</v>
      </c>
      <c r="C131" s="2">
        <v>7.8921325299999996</v>
      </c>
      <c r="D131" s="2">
        <f t="shared" si="1"/>
        <v>3.1942964977046601E-2</v>
      </c>
    </row>
    <row r="132" spans="1:4">
      <c r="A132" t="s">
        <v>207</v>
      </c>
    </row>
    <row r="134" spans="1:4">
      <c r="A134" t="s">
        <v>63</v>
      </c>
    </row>
    <row r="135" spans="1:4">
      <c r="A135" t="s">
        <v>101</v>
      </c>
    </row>
    <row r="136" spans="1:4">
      <c r="A136" t="s">
        <v>6</v>
      </c>
    </row>
    <row r="137" spans="1:4">
      <c r="A137" t="s">
        <v>208</v>
      </c>
    </row>
    <row r="138" spans="1:4">
      <c r="A138" t="s">
        <v>209</v>
      </c>
    </row>
    <row r="139" spans="1:4">
      <c r="A139" t="s">
        <v>210</v>
      </c>
    </row>
    <row r="140" spans="1:4">
      <c r="A140" t="s">
        <v>211</v>
      </c>
    </row>
    <row r="141" spans="1:4">
      <c r="A141" t="s">
        <v>212</v>
      </c>
    </row>
    <row r="142" spans="1:4">
      <c r="A142" t="s">
        <v>213</v>
      </c>
    </row>
    <row r="143" spans="1:4">
      <c r="A143" t="s">
        <v>214</v>
      </c>
    </row>
    <row r="144" spans="1:4">
      <c r="A144" t="s">
        <v>215</v>
      </c>
    </row>
    <row r="145" spans="1:1">
      <c r="A145" t="s">
        <v>216</v>
      </c>
    </row>
    <row r="146" spans="1:1">
      <c r="A146" t="s">
        <v>217</v>
      </c>
    </row>
    <row r="147" spans="1:1">
      <c r="A147" t="s">
        <v>218</v>
      </c>
    </row>
    <row r="148" spans="1:1">
      <c r="A148" t="s">
        <v>219</v>
      </c>
    </row>
    <row r="149" spans="1:1">
      <c r="A149" t="s">
        <v>220</v>
      </c>
    </row>
    <row r="150" spans="1:1">
      <c r="A150" t="s">
        <v>221</v>
      </c>
    </row>
    <row r="151" spans="1:1">
      <c r="A151" t="s">
        <v>222</v>
      </c>
    </row>
    <row r="153" spans="1:1">
      <c r="A153" t="s">
        <v>223</v>
      </c>
    </row>
    <row r="154" spans="1:1">
      <c r="A154" t="s">
        <v>224</v>
      </c>
    </row>
    <row r="155" spans="1:1">
      <c r="A155" t="s">
        <v>225</v>
      </c>
    </row>
    <row r="156" spans="1:1">
      <c r="A156" t="s">
        <v>226</v>
      </c>
    </row>
    <row r="157" spans="1:1">
      <c r="A157" t="s">
        <v>227</v>
      </c>
    </row>
    <row r="159" spans="1:1">
      <c r="A159" t="s">
        <v>122</v>
      </c>
    </row>
    <row r="228" spans="9:10">
      <c r="I228" s="3"/>
      <c r="J228" s="3"/>
    </row>
    <row r="274" spans="9:10">
      <c r="I274" s="3"/>
      <c r="J27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of the scale threshold </vt:lpstr>
      <vt:lpstr>Results of the density threshol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何柏妮</dc:creator>
  <cp:lastModifiedBy>Li, Han</cp:lastModifiedBy>
  <dcterms:created xsi:type="dcterms:W3CDTF">2025-08-09T15:51:00Z</dcterms:created>
  <dcterms:modified xsi:type="dcterms:W3CDTF">2026-01-17T12:51:14Z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8540E3B2A71D42839F9E64F6FF8948E4_11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